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pohle/Dropbox/Central_Asia/Fluorometer/data/KG_G354/"/>
    </mc:Choice>
  </mc:AlternateContent>
  <xr:revisionPtr revIDLastSave="0" documentId="13_ncr:1_{5177EBB0-21DC-6747-99FD-67FF5D8392A8}" xr6:coauthVersionLast="47" xr6:coauthVersionMax="47" xr10:uidLastSave="{00000000-0000-0000-0000-000000000000}"/>
  <bookViews>
    <workbookView xWindow="1980" yWindow="1820" windowWidth="27160" windowHeight="16440" xr2:uid="{E06E48C3-C966-D441-A8F2-667675F00FC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<sst xmlns="http://schemas.openxmlformats.org/spreadsheetml/2006/main" count="213" uniqueCount="60">
  <si>
    <t>place</t>
  </si>
  <si>
    <t>injection point</t>
  </si>
  <si>
    <t>measurement point</t>
  </si>
  <si>
    <t>date</t>
  </si>
  <si>
    <t>time</t>
  </si>
  <si>
    <t>tracer</t>
  </si>
  <si>
    <t>amount [ml](F) or [g](S)</t>
  </si>
  <si>
    <t>base solution [g/l]</t>
  </si>
  <si>
    <t>approx signal max [ppb](F) or [mg/l](S)</t>
  </si>
  <si>
    <t>discharge (calc) [m3/s]</t>
  </si>
  <si>
    <t>discharge (calc with extrapolation) [m3/s]</t>
  </si>
  <si>
    <t>discharge (manual adjusts) [m3/s]</t>
  </si>
  <si>
    <t>discharge (calc) [l/s]</t>
  </si>
  <si>
    <t>calibration?</t>
  </si>
  <si>
    <t>quality [3 - dubious]</t>
  </si>
  <si>
    <t>comment</t>
  </si>
  <si>
    <t>plot</t>
  </si>
  <si>
    <t>G354</t>
  </si>
  <si>
    <t>G354_INJ_2019-08-22</t>
  </si>
  <si>
    <t>G354_FL_2019-08-23</t>
  </si>
  <si>
    <t>F</t>
  </si>
  <si>
    <t>no calibration at all</t>
  </si>
  <si>
    <t xml:space="preserve">104g ; must be the liquid. So this should correspond to 104ml of the 300g/l solution from fluotechnik. </t>
  </si>
  <si>
    <t>measurements of 52g by eye. Half of the 104 ml. Useless? No calib anyways. What happened with the other half? Maybe first injection (day before) was also just 52g?</t>
  </si>
  <si>
    <t>yes, 10:27</t>
  </si>
  <si>
    <t>yes, 11:15</t>
  </si>
  <si>
    <t>yes, 14:27</t>
  </si>
  <si>
    <t>needs repair</t>
  </si>
  <si>
    <t>Probably no calibration either. Picked up by Tomas and co. after bridge was destroyed and no access possible in summer 2021</t>
  </si>
  <si>
    <t>yes 2</t>
  </si>
  <si>
    <r>
      <rPr>
        <sz val="12"/>
        <color rgb="FFFF0000"/>
        <rFont val="Calibri (Body)"/>
      </rPr>
      <t>Value looks very high</t>
    </r>
    <r>
      <rPr>
        <sz val="12"/>
        <color rgb="FFFF0000"/>
        <rFont val="Aptos Narrow"/>
        <family val="2"/>
        <scheme val="minor"/>
      </rPr>
      <t>! Problem with several weeks before prepared calibration fluid / and possible exposure to sun light? The signals look very low; maybe result of decay.</t>
    </r>
  </si>
  <si>
    <r>
      <rPr>
        <sz val="12"/>
        <color rgb="FFFF0000"/>
        <rFont val="Calibri (Body)"/>
      </rPr>
      <t>not repaired - bad calibration; no idea which point is good. Second point adds very little. So maybe only point 1.</t>
    </r>
    <r>
      <rPr>
        <sz val="12"/>
        <color rgb="FFFF0000"/>
        <rFont val="Aptos Narrow"/>
        <family val="2"/>
        <scheme val="minor"/>
      </rPr>
      <t>needs repair</t>
    </r>
  </si>
  <si>
    <t>bad calibration</t>
  </si>
  <si>
    <t>/</t>
  </si>
  <si>
    <t>broken. Not useful</t>
  </si>
  <si>
    <t>G354_INJ-HIGH_2022</t>
  </si>
  <si>
    <t>G354_FL_2022</t>
  </si>
  <si>
    <t>sudden increase in water level and sediment concentration</t>
  </si>
  <si>
    <t>Using calibration from later experiment</t>
  </si>
  <si>
    <t>100m further upstream</t>
  </si>
  <si>
    <t>G354_INJ-LOW_2022</t>
  </si>
  <si>
    <t>yes, 08:51</t>
  </si>
  <si>
    <t>Using previous calibration</t>
  </si>
  <si>
    <t>yes</t>
  </si>
  <si>
    <t>signal jumping, background of 0.1-0.3 ppb, can be partly repaired</t>
  </si>
  <si>
    <t>can partly be repaired</t>
  </si>
  <si>
    <t>yes, 12:50</t>
  </si>
  <si>
    <t>bad</t>
  </si>
  <si>
    <t>good</t>
  </si>
  <si>
    <t>not working, too much sediments</t>
  </si>
  <si>
    <t>Second curve is much higher. Only few minutes after. Maybe wrong dose??? The 5.6 m3s make sense. The 3.2 from the stronger curve not so much. Maybe related to new liquid and old calib liquid? Calibration signals are clearly declining over time (See  2024 - Measurements_G354.xlsx)</t>
  </si>
  <si>
    <t>G354_INJ-HIGH_2024</t>
  </si>
  <si>
    <t>new solution: made in tent. Different solution than calibration fluid! Images show 51.86 g // check fieldbook</t>
  </si>
  <si>
    <t>new solution: jumping signal; maybe 400 ml? or even 500 ml?</t>
  </si>
  <si>
    <t>okish</t>
  </si>
  <si>
    <t>yes, 5:50</t>
  </si>
  <si>
    <t>wait for jinghengs confirmation</t>
  </si>
  <si>
    <t>water level measured or guessed</t>
  </si>
  <si>
    <t>HOBO water level</t>
  </si>
  <si>
    <t>water level measured or guessed [cm below water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</si>
</sst>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rgb="FFFF0000"/>
      <name val="Aptos Narrow"/>
      <family val="2"/>
      <scheme val="minor"/>
    </font>
    <font>
      <b/>
      <sz val="12"/>
      <color theme="1"/>
      <name val="Aptos Narrow"/>
      <family val="2"/>
      <scheme val="minor"/>
    </font>
    <font>
      <sz val="12"/>
      <color rgb="FFFF32E5"/>
      <name val="Aptos Narrow"/>
      <family val="2"/>
      <scheme val="minor"/>
    </font>
    <font>
      <sz val="12"/>
      <color rgb="FFFF0000"/>
      <name val="Calibri (Body)"/>
    </font>
    <font>
      <sz val="12"/>
      <name val="Aptos Narrow"/>
      <family val="2"/>
      <scheme val="minor"/>
    </font>
    <font>
      <sz val="12"/>
      <color rgb="FF00B050"/>
      <name val="Aptos Narrow"/>
      <family val="2"/>
      <scheme val="minor"/>
    </font>
    <font>
      <b/>
      <sz val="12"/>
      <color rgb="FFFF32E5"/>
      <name val="Aptos Narrow"/>
      <family val="2"/>
      <scheme val="minor"/>
    </font>
    <font>
      <b/>
      <sz val="12"/>
      <color theme="1"/>
      <name val="Aptos Narrow"/>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2" fillId="0" borderId="0" xfId="0" applyFont="1" applyAlignment="1">
      <alignment wrapText="1"/>
    </xf>
    <xf numFmtId="14" fontId="0" fillId="0" borderId="0" xfId="0" applyNumberFormat="1"/>
    <xf numFmtId="20" fontId="0" fillId="0" borderId="0" xfId="0" applyNumberFormat="1"/>
    <xf numFmtId="0" fontId="0" fillId="0" borderId="0" xfId="0" applyAlignment="1">
      <alignment wrapText="1"/>
    </xf>
    <xf numFmtId="20" fontId="3" fillId="0" borderId="0" xfId="0" applyNumberFormat="1" applyFont="1"/>
    <xf numFmtId="0" fontId="3" fillId="0" borderId="0" xfId="0" applyFont="1"/>
    <xf numFmtId="0" fontId="1" fillId="0" borderId="0" xfId="0" applyFont="1" applyAlignment="1">
      <alignment wrapText="1"/>
    </xf>
    <xf numFmtId="0" fontId="1" fillId="2" borderId="0" xfId="0" applyFont="1" applyFill="1"/>
    <xf numFmtId="0" fontId="3" fillId="0" borderId="0" xfId="0" applyFont="1" applyAlignment="1">
      <alignment wrapText="1"/>
    </xf>
    <xf numFmtId="0" fontId="5" fillId="0" borderId="0" xfId="0" applyFont="1"/>
    <xf numFmtId="0" fontId="6" fillId="0" borderId="0" xfId="0" applyFont="1"/>
    <xf numFmtId="20" fontId="5" fillId="0" borderId="0" xfId="0" applyNumberFormat="1" applyFont="1"/>
    <xf numFmtId="0" fontId="0" fillId="2" borderId="0" xfId="0" applyFill="1"/>
    <xf numFmtId="0" fontId="0" fillId="3" borderId="0" xfId="0" applyFill="1"/>
    <xf numFmtId="20" fontId="3" fillId="2" borderId="0" xfId="0" applyNumberFormat="1" applyFont="1" applyFill="1"/>
    <xf numFmtId="0" fontId="3" fillId="2" borderId="0" xfId="0" applyFont="1" applyFill="1"/>
    <xf numFmtId="0" fontId="7" fillId="0" borderId="0" xfId="0" applyFont="1"/>
    <xf numFmtId="0" fontId="1" fillId="0" borderId="0" xfId="0" applyFont="1"/>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096D3-E284-4744-A34B-09F7429E82D7}">
  <dimension ref="A1:Z48"/>
  <sheetViews>
    <sheetView tabSelected="1" workbookViewId="0">
      <pane ySplit="1" topLeftCell="A22" activePane="bottomLeft" state="frozen"/>
      <selection pane="bottomLeft" activeCell="O25" sqref="O25"/>
    </sheetView>
  </sheetViews>
  <sheetFormatPr baseColWidth="10" defaultRowHeight="16" x14ac:dyDescent="0.2"/>
  <cols>
    <col min="2" max="2" width="21.1640625" customWidth="1"/>
    <col min="3" max="3" width="18.83203125" bestFit="1" customWidth="1"/>
    <col min="15" max="15" width="11.83203125" customWidth="1"/>
    <col min="16" max="17" width="21.33203125" customWidth="1"/>
  </cols>
  <sheetData>
    <row r="1" spans="1:26" ht="85" x14ac:dyDescent="0.2">
      <c r="A1" s="1" t="s">
        <v>0</v>
      </c>
      <c r="B1" s="1" t="s">
        <v>1</v>
      </c>
      <c r="C1" s="1" t="s">
        <v>2</v>
      </c>
      <c r="D1" s="1" t="s">
        <v>3</v>
      </c>
      <c r="E1" s="1" t="s">
        <v>4</v>
      </c>
      <c r="F1" s="2" t="s">
        <v>5</v>
      </c>
      <c r="G1" s="2" t="s">
        <v>6</v>
      </c>
      <c r="H1" s="2" t="s">
        <v>7</v>
      </c>
      <c r="I1" s="2" t="s">
        <v>8</v>
      </c>
      <c r="J1" s="2" t="s">
        <v>9</v>
      </c>
      <c r="K1" s="2" t="s">
        <v>10</v>
      </c>
      <c r="L1" s="2" t="s">
        <v>11</v>
      </c>
      <c r="M1" s="2" t="s">
        <v>12</v>
      </c>
      <c r="N1" s="2" t="s">
        <v>58</v>
      </c>
      <c r="O1" s="20" t="s">
        <v>59</v>
      </c>
      <c r="P1" s="2" t="s">
        <v>13</v>
      </c>
      <c r="Q1" s="2" t="s">
        <v>14</v>
      </c>
      <c r="R1" s="2" t="s">
        <v>15</v>
      </c>
      <c r="Z1" t="s">
        <v>16</v>
      </c>
    </row>
    <row r="2" spans="1:26" ht="17" x14ac:dyDescent="0.2">
      <c r="A2" t="s">
        <v>17</v>
      </c>
      <c r="B2" t="s">
        <v>18</v>
      </c>
      <c r="C2" t="s">
        <v>19</v>
      </c>
      <c r="D2" s="3">
        <v>43700</v>
      </c>
      <c r="E2" s="4">
        <v>0.61111111111111116</v>
      </c>
      <c r="F2" s="5" t="s">
        <v>20</v>
      </c>
      <c r="G2" s="5">
        <v>104</v>
      </c>
      <c r="H2" s="5">
        <v>300</v>
      </c>
      <c r="I2" s="5"/>
      <c r="J2" s="5"/>
      <c r="K2" s="5"/>
      <c r="P2" t="s">
        <v>21</v>
      </c>
      <c r="R2" t="s">
        <v>22</v>
      </c>
    </row>
    <row r="3" spans="1:26" ht="17" x14ac:dyDescent="0.2">
      <c r="A3" t="s">
        <v>17</v>
      </c>
      <c r="B3" t="s">
        <v>18</v>
      </c>
      <c r="C3" t="s">
        <v>19</v>
      </c>
      <c r="D3" s="3">
        <v>43701</v>
      </c>
      <c r="E3" s="4">
        <v>0.30208333333333331</v>
      </c>
      <c r="F3" s="5" t="s">
        <v>20</v>
      </c>
      <c r="G3" s="5">
        <v>52</v>
      </c>
      <c r="H3" s="5">
        <v>300</v>
      </c>
      <c r="I3" s="5"/>
      <c r="J3" s="5"/>
      <c r="K3" s="5"/>
      <c r="P3" t="s">
        <v>21</v>
      </c>
      <c r="R3" t="s">
        <v>23</v>
      </c>
    </row>
    <row r="4" spans="1:26" x14ac:dyDescent="0.2">
      <c r="F4" s="5"/>
      <c r="G4" s="5"/>
      <c r="H4" s="5"/>
      <c r="I4" s="5"/>
      <c r="J4" s="5"/>
      <c r="K4" s="5"/>
    </row>
    <row r="5" spans="1:26" x14ac:dyDescent="0.2">
      <c r="F5" s="5"/>
      <c r="G5" s="5"/>
      <c r="H5" s="5"/>
      <c r="I5" s="5"/>
      <c r="J5" s="5"/>
      <c r="K5" s="5"/>
    </row>
    <row r="6" spans="1:26" ht="17" x14ac:dyDescent="0.2">
      <c r="A6" t="s">
        <v>17</v>
      </c>
      <c r="B6" t="s">
        <v>18</v>
      </c>
      <c r="C6" t="s">
        <v>19</v>
      </c>
      <c r="D6" s="3">
        <v>44467</v>
      </c>
      <c r="E6" s="4">
        <v>0.45277777777777778</v>
      </c>
      <c r="F6" s="5" t="s">
        <v>20</v>
      </c>
      <c r="G6" s="5">
        <v>20</v>
      </c>
      <c r="H6" s="5">
        <v>50</v>
      </c>
      <c r="I6" s="5"/>
      <c r="J6" s="5">
        <v>0.36176000000000003</v>
      </c>
      <c r="K6" s="5"/>
      <c r="P6" t="s">
        <v>24</v>
      </c>
    </row>
    <row r="7" spans="1:26" ht="17" x14ac:dyDescent="0.2">
      <c r="A7" t="s">
        <v>17</v>
      </c>
      <c r="B7" t="s">
        <v>18</v>
      </c>
      <c r="C7" t="s">
        <v>19</v>
      </c>
      <c r="D7" s="3">
        <v>44467</v>
      </c>
      <c r="E7" s="4">
        <v>0.51388888888888884</v>
      </c>
      <c r="F7" s="5" t="s">
        <v>20</v>
      </c>
      <c r="G7" s="5">
        <v>25</v>
      </c>
      <c r="H7" s="5">
        <v>50</v>
      </c>
      <c r="I7" s="5"/>
      <c r="J7" s="5">
        <v>0.45865699999999998</v>
      </c>
      <c r="K7" s="5"/>
      <c r="P7" t="s">
        <v>25</v>
      </c>
    </row>
    <row r="8" spans="1:26" ht="17" x14ac:dyDescent="0.2">
      <c r="A8" t="s">
        <v>17</v>
      </c>
      <c r="B8" t="s">
        <v>18</v>
      </c>
      <c r="C8" t="s">
        <v>19</v>
      </c>
      <c r="D8" s="3">
        <v>44467</v>
      </c>
      <c r="E8" s="4">
        <v>0.54861111111111116</v>
      </c>
      <c r="F8" s="5" t="s">
        <v>20</v>
      </c>
      <c r="G8" s="5">
        <v>40</v>
      </c>
      <c r="H8" s="5">
        <v>50</v>
      </c>
      <c r="I8" s="5"/>
      <c r="J8" s="5">
        <v>0.95194900000000005</v>
      </c>
      <c r="K8" s="5"/>
    </row>
    <row r="9" spans="1:26" ht="17" x14ac:dyDescent="0.2">
      <c r="A9" t="s">
        <v>17</v>
      </c>
      <c r="B9" t="s">
        <v>18</v>
      </c>
      <c r="C9" t="s">
        <v>19</v>
      </c>
      <c r="D9" s="3">
        <v>44467</v>
      </c>
      <c r="E9" s="4">
        <v>0.58958333333333335</v>
      </c>
      <c r="F9" s="5" t="s">
        <v>20</v>
      </c>
      <c r="G9" s="5">
        <v>60</v>
      </c>
      <c r="H9" s="5">
        <v>50</v>
      </c>
      <c r="I9" s="5"/>
      <c r="J9" s="5">
        <v>1.5181739999999999</v>
      </c>
      <c r="K9" s="5"/>
    </row>
    <row r="10" spans="1:26" ht="17" x14ac:dyDescent="0.2">
      <c r="A10" t="s">
        <v>17</v>
      </c>
      <c r="B10" t="s">
        <v>18</v>
      </c>
      <c r="C10" t="s">
        <v>19</v>
      </c>
      <c r="D10" s="3">
        <v>44467</v>
      </c>
      <c r="E10" s="6">
        <v>0.63194444444444442</v>
      </c>
      <c r="F10" s="5" t="s">
        <v>20</v>
      </c>
      <c r="G10" s="5">
        <v>120</v>
      </c>
      <c r="H10" s="5">
        <v>50</v>
      </c>
      <c r="I10" s="5"/>
      <c r="J10" s="5">
        <v>1.7124999999999999</v>
      </c>
      <c r="K10" s="5"/>
      <c r="P10" t="s">
        <v>26</v>
      </c>
      <c r="R10" s="7" t="s">
        <v>27</v>
      </c>
    </row>
    <row r="11" spans="1:26" ht="17" x14ac:dyDescent="0.2">
      <c r="A11" t="s">
        <v>17</v>
      </c>
      <c r="B11" t="s">
        <v>18</v>
      </c>
      <c r="C11" t="s">
        <v>19</v>
      </c>
      <c r="D11" s="3">
        <v>44467</v>
      </c>
      <c r="E11" s="4">
        <v>0.66666666666666663</v>
      </c>
      <c r="F11" s="5" t="s">
        <v>20</v>
      </c>
      <c r="G11" s="5">
        <v>120</v>
      </c>
      <c r="H11" s="5">
        <v>50</v>
      </c>
      <c r="I11" s="5"/>
      <c r="J11" s="5">
        <v>1.51603</v>
      </c>
      <c r="K11" s="5"/>
      <c r="R11" t="s">
        <v>28</v>
      </c>
    </row>
    <row r="12" spans="1:26" x14ac:dyDescent="0.2">
      <c r="F12" s="5"/>
      <c r="G12" s="5"/>
      <c r="H12" s="5"/>
      <c r="I12" s="5"/>
      <c r="J12" s="5"/>
      <c r="K12" s="5"/>
    </row>
    <row r="13" spans="1:26" x14ac:dyDescent="0.2">
      <c r="F13" s="5"/>
      <c r="G13" s="5"/>
      <c r="H13" s="5"/>
      <c r="I13" s="5"/>
      <c r="J13" s="5"/>
      <c r="K13" s="5"/>
    </row>
    <row r="14" spans="1:26" ht="17" x14ac:dyDescent="0.2">
      <c r="A14" t="s">
        <v>17</v>
      </c>
      <c r="B14" t="s">
        <v>18</v>
      </c>
      <c r="C14" t="s">
        <v>19</v>
      </c>
      <c r="D14" s="3">
        <v>44790</v>
      </c>
      <c r="E14" s="4">
        <v>0.45833333333333331</v>
      </c>
      <c r="F14" s="5" t="s">
        <v>20</v>
      </c>
      <c r="G14" s="5">
        <v>20</v>
      </c>
      <c r="H14" s="5">
        <v>50</v>
      </c>
      <c r="I14" s="5"/>
      <c r="J14" s="8">
        <v>0.93</v>
      </c>
      <c r="K14" s="5"/>
      <c r="P14" t="s">
        <v>29</v>
      </c>
      <c r="Q14">
        <v>3</v>
      </c>
      <c r="R14" s="9" t="s">
        <v>30</v>
      </c>
    </row>
    <row r="15" spans="1:26" ht="17" x14ac:dyDescent="0.2">
      <c r="A15" t="s">
        <v>17</v>
      </c>
      <c r="B15" t="s">
        <v>18</v>
      </c>
      <c r="C15" t="s">
        <v>19</v>
      </c>
      <c r="D15" s="3">
        <v>44790</v>
      </c>
      <c r="E15" s="4">
        <v>0.46875</v>
      </c>
      <c r="F15" s="5" t="s">
        <v>20</v>
      </c>
      <c r="G15" s="5">
        <v>30</v>
      </c>
      <c r="H15" s="5">
        <v>50</v>
      </c>
      <c r="I15" s="5"/>
      <c r="J15" s="8">
        <v>0.85596000000000005</v>
      </c>
      <c r="K15" s="8"/>
      <c r="Q15">
        <v>3</v>
      </c>
      <c r="R15" s="9"/>
    </row>
    <row r="16" spans="1:26" ht="17" x14ac:dyDescent="0.2">
      <c r="A16" t="s">
        <v>17</v>
      </c>
      <c r="B16" t="s">
        <v>18</v>
      </c>
      <c r="C16" t="s">
        <v>19</v>
      </c>
      <c r="D16" s="3">
        <v>44790</v>
      </c>
      <c r="E16" s="4">
        <v>0.61111111111111116</v>
      </c>
      <c r="F16" s="5" t="s">
        <v>20</v>
      </c>
      <c r="G16" s="5">
        <v>200</v>
      </c>
      <c r="H16" s="5">
        <v>50</v>
      </c>
      <c r="I16" s="5"/>
      <c r="J16" s="8">
        <v>1.4144399999999999</v>
      </c>
      <c r="K16" s="8"/>
      <c r="P16" t="s">
        <v>29</v>
      </c>
      <c r="Q16">
        <v>3</v>
      </c>
      <c r="R16" s="9" t="s">
        <v>31</v>
      </c>
    </row>
    <row r="17" spans="1:18" ht="17" x14ac:dyDescent="0.2">
      <c r="A17" t="s">
        <v>17</v>
      </c>
      <c r="B17" t="s">
        <v>18</v>
      </c>
      <c r="C17" t="s">
        <v>19</v>
      </c>
      <c r="D17" s="3">
        <v>44790</v>
      </c>
      <c r="E17" s="4">
        <v>0.625</v>
      </c>
      <c r="F17" s="5" t="s">
        <v>20</v>
      </c>
      <c r="G17" s="5">
        <v>400</v>
      </c>
      <c r="H17" s="5">
        <v>50</v>
      </c>
      <c r="I17" s="5"/>
      <c r="J17" s="8">
        <v>1.27929</v>
      </c>
      <c r="K17" s="8"/>
      <c r="Q17">
        <v>3</v>
      </c>
      <c r="R17" s="9" t="s">
        <v>32</v>
      </c>
    </row>
    <row r="18" spans="1:18" ht="17" x14ac:dyDescent="0.2">
      <c r="A18" t="s">
        <v>17</v>
      </c>
      <c r="B18" t="s">
        <v>18</v>
      </c>
      <c r="C18" t="s">
        <v>19</v>
      </c>
      <c r="D18" s="3">
        <v>44790</v>
      </c>
      <c r="E18" s="6">
        <v>0.66666666666666663</v>
      </c>
      <c r="F18" s="10" t="s">
        <v>20</v>
      </c>
      <c r="G18" s="10" t="s">
        <v>33</v>
      </c>
      <c r="H18" s="5" t="s">
        <v>33</v>
      </c>
      <c r="I18" s="5"/>
      <c r="J18" s="8"/>
      <c r="K18" s="8"/>
      <c r="R18" s="9" t="s">
        <v>34</v>
      </c>
    </row>
    <row r="19" spans="1:18" ht="17" x14ac:dyDescent="0.2">
      <c r="A19" t="s">
        <v>17</v>
      </c>
      <c r="B19" t="s">
        <v>18</v>
      </c>
      <c r="C19" t="s">
        <v>19</v>
      </c>
      <c r="D19" s="3">
        <v>44790</v>
      </c>
      <c r="E19" s="4">
        <v>0.70833333333333337</v>
      </c>
      <c r="F19" s="5" t="s">
        <v>20</v>
      </c>
      <c r="G19" s="5">
        <v>300</v>
      </c>
      <c r="H19" s="5">
        <v>50</v>
      </c>
      <c r="I19" s="5"/>
      <c r="J19" s="8">
        <v>1.01911</v>
      </c>
      <c r="K19" s="8"/>
      <c r="P19" t="s">
        <v>29</v>
      </c>
      <c r="Q19">
        <v>3</v>
      </c>
      <c r="R19" s="9" t="s">
        <v>32</v>
      </c>
    </row>
    <row r="20" spans="1:18" ht="17" x14ac:dyDescent="0.2">
      <c r="A20" t="s">
        <v>17</v>
      </c>
      <c r="B20" t="s">
        <v>18</v>
      </c>
      <c r="C20" t="s">
        <v>19</v>
      </c>
      <c r="D20" s="3">
        <v>44790</v>
      </c>
      <c r="E20" s="4">
        <v>0.79166666666666663</v>
      </c>
      <c r="F20" s="5" t="s">
        <v>20</v>
      </c>
      <c r="G20" s="5">
        <v>300</v>
      </c>
      <c r="H20" s="5">
        <v>50</v>
      </c>
      <c r="I20" s="5"/>
      <c r="J20" s="8">
        <v>0.53432999999999997</v>
      </c>
      <c r="K20" s="8"/>
      <c r="P20" t="s">
        <v>29</v>
      </c>
      <c r="Q20">
        <v>3</v>
      </c>
      <c r="R20" s="9"/>
    </row>
    <row r="21" spans="1:18" ht="17" x14ac:dyDescent="0.2">
      <c r="A21" t="s">
        <v>17</v>
      </c>
      <c r="B21" t="s">
        <v>18</v>
      </c>
      <c r="C21" t="s">
        <v>19</v>
      </c>
      <c r="D21" s="3">
        <v>44791</v>
      </c>
      <c r="E21" s="4">
        <v>0.375</v>
      </c>
      <c r="F21" s="5" t="s">
        <v>20</v>
      </c>
      <c r="G21" s="5">
        <v>100</v>
      </c>
      <c r="H21" s="5">
        <v>50</v>
      </c>
      <c r="I21" s="5"/>
      <c r="J21" s="8">
        <v>0.34662999999999999</v>
      </c>
      <c r="K21" s="8"/>
      <c r="P21" t="s">
        <v>29</v>
      </c>
      <c r="Q21">
        <v>3</v>
      </c>
      <c r="R21" s="9"/>
    </row>
    <row r="22" spans="1:18" x14ac:dyDescent="0.2">
      <c r="F22" s="5"/>
      <c r="G22" s="5"/>
      <c r="H22" s="5"/>
      <c r="I22" s="5"/>
      <c r="J22" s="5"/>
      <c r="K22" s="5"/>
    </row>
    <row r="23" spans="1:18" x14ac:dyDescent="0.2">
      <c r="F23" s="5"/>
      <c r="G23" s="5"/>
      <c r="H23" s="5"/>
      <c r="I23" s="5"/>
      <c r="J23" s="5"/>
      <c r="K23" s="5"/>
    </row>
    <row r="24" spans="1:18" x14ac:dyDescent="0.2">
      <c r="A24" t="s">
        <v>17</v>
      </c>
      <c r="B24" t="s">
        <v>35</v>
      </c>
      <c r="C24" t="s">
        <v>36</v>
      </c>
      <c r="D24" s="3">
        <v>45120</v>
      </c>
      <c r="E24" s="4">
        <v>0.40972222222222227</v>
      </c>
      <c r="F24" t="s">
        <v>20</v>
      </c>
      <c r="G24">
        <v>20</v>
      </c>
      <c r="H24">
        <v>50</v>
      </c>
      <c r="J24" s="11">
        <v>0.31516</v>
      </c>
      <c r="K24" s="11"/>
      <c r="L24" s="11"/>
      <c r="M24" s="11"/>
      <c r="N24" s="11"/>
      <c r="O24">
        <v>30</v>
      </c>
    </row>
    <row r="25" spans="1:18" x14ac:dyDescent="0.2">
      <c r="A25" t="s">
        <v>17</v>
      </c>
      <c r="B25" t="s">
        <v>35</v>
      </c>
      <c r="C25" t="s">
        <v>36</v>
      </c>
      <c r="D25" s="3">
        <v>45120</v>
      </c>
      <c r="E25" s="4">
        <v>0.43055555555555558</v>
      </c>
      <c r="F25" t="s">
        <v>20</v>
      </c>
      <c r="G25">
        <v>50</v>
      </c>
      <c r="H25">
        <v>50</v>
      </c>
      <c r="I25">
        <v>15</v>
      </c>
      <c r="J25" s="11">
        <v>1.61693</v>
      </c>
      <c r="K25" s="11"/>
      <c r="L25" s="11"/>
      <c r="M25" s="11"/>
      <c r="N25" s="11"/>
      <c r="R25" t="s">
        <v>37</v>
      </c>
    </row>
    <row r="26" spans="1:18" x14ac:dyDescent="0.2">
      <c r="A26" t="s">
        <v>17</v>
      </c>
      <c r="B26" t="s">
        <v>35</v>
      </c>
      <c r="C26" t="s">
        <v>36</v>
      </c>
      <c r="D26" s="3">
        <v>45120</v>
      </c>
      <c r="E26" s="4">
        <v>0.45833333333333331</v>
      </c>
      <c r="F26" t="s">
        <v>20</v>
      </c>
      <c r="G26">
        <v>100</v>
      </c>
      <c r="H26">
        <v>50</v>
      </c>
      <c r="J26" s="11">
        <v>2.7448199999999998</v>
      </c>
      <c r="K26" s="11"/>
      <c r="L26" s="11"/>
      <c r="M26" s="11"/>
      <c r="N26" s="11"/>
      <c r="R26" t="s">
        <v>38</v>
      </c>
    </row>
    <row r="27" spans="1:18" x14ac:dyDescent="0.2">
      <c r="A27" t="s">
        <v>17</v>
      </c>
      <c r="B27" t="s">
        <v>35</v>
      </c>
      <c r="C27" t="s">
        <v>36</v>
      </c>
      <c r="D27" s="3">
        <v>45120</v>
      </c>
      <c r="E27" s="4">
        <v>0.46527777777777773</v>
      </c>
      <c r="F27" t="s">
        <v>20</v>
      </c>
      <c r="G27">
        <v>200</v>
      </c>
      <c r="H27">
        <v>50</v>
      </c>
      <c r="J27" s="11">
        <v>2.3185899999999999</v>
      </c>
      <c r="K27" s="11"/>
      <c r="L27" s="11"/>
      <c r="M27" s="11"/>
      <c r="N27" s="11"/>
      <c r="R27" t="s">
        <v>39</v>
      </c>
    </row>
    <row r="28" spans="1:18" x14ac:dyDescent="0.2">
      <c r="J28" s="11"/>
      <c r="K28" s="11"/>
      <c r="L28" s="11"/>
      <c r="M28" s="11"/>
      <c r="N28" s="11"/>
    </row>
    <row r="29" spans="1:18" x14ac:dyDescent="0.2">
      <c r="J29" s="11"/>
      <c r="K29" s="11"/>
      <c r="L29" s="11"/>
      <c r="M29" s="11"/>
      <c r="N29" s="11"/>
    </row>
    <row r="30" spans="1:18" x14ac:dyDescent="0.2">
      <c r="A30" t="s">
        <v>17</v>
      </c>
      <c r="B30" t="s">
        <v>40</v>
      </c>
      <c r="C30" t="s">
        <v>36</v>
      </c>
      <c r="D30" s="3">
        <v>45524</v>
      </c>
      <c r="E30" s="4">
        <v>0.375</v>
      </c>
      <c r="F30" t="s">
        <v>20</v>
      </c>
      <c r="G30">
        <v>50</v>
      </c>
      <c r="H30">
        <v>50</v>
      </c>
      <c r="J30" s="11">
        <v>1.2239500000000001</v>
      </c>
      <c r="K30" s="11"/>
      <c r="L30" s="11"/>
      <c r="M30" s="11"/>
      <c r="N30" s="11"/>
      <c r="P30" t="s">
        <v>41</v>
      </c>
    </row>
    <row r="31" spans="1:18" x14ac:dyDescent="0.2">
      <c r="A31" t="s">
        <v>17</v>
      </c>
      <c r="B31" t="s">
        <v>40</v>
      </c>
      <c r="C31" t="s">
        <v>36</v>
      </c>
      <c r="D31" s="3">
        <v>45524</v>
      </c>
      <c r="E31" s="4">
        <v>0.39791666666666664</v>
      </c>
      <c r="F31" t="s">
        <v>20</v>
      </c>
      <c r="G31">
        <v>26.5</v>
      </c>
      <c r="H31">
        <v>50</v>
      </c>
      <c r="J31" s="11">
        <v>1.31952</v>
      </c>
      <c r="K31" s="11"/>
      <c r="L31" s="12"/>
      <c r="M31" s="11"/>
      <c r="N31" s="11"/>
      <c r="R31" s="12" t="s">
        <v>42</v>
      </c>
    </row>
    <row r="32" spans="1:18" x14ac:dyDescent="0.2">
      <c r="A32" t="s">
        <v>17</v>
      </c>
      <c r="B32" t="s">
        <v>40</v>
      </c>
      <c r="C32" t="s">
        <v>36</v>
      </c>
      <c r="D32" s="3">
        <v>45524</v>
      </c>
      <c r="E32" s="4">
        <v>0.41666666666666669</v>
      </c>
      <c r="F32" t="s">
        <v>20</v>
      </c>
      <c r="G32">
        <v>25</v>
      </c>
      <c r="H32">
        <v>50</v>
      </c>
      <c r="J32" s="11">
        <v>1.4431099999999999</v>
      </c>
      <c r="K32" s="11"/>
      <c r="L32" s="11"/>
      <c r="M32" s="11"/>
      <c r="N32" s="11"/>
    </row>
    <row r="33" spans="1:18" x14ac:dyDescent="0.2">
      <c r="A33" t="s">
        <v>17</v>
      </c>
      <c r="B33" t="s">
        <v>40</v>
      </c>
      <c r="C33" t="s">
        <v>36</v>
      </c>
      <c r="D33" s="3">
        <v>45524</v>
      </c>
      <c r="E33" s="13">
        <v>0.4375</v>
      </c>
      <c r="F33" t="s">
        <v>20</v>
      </c>
      <c r="G33">
        <v>41</v>
      </c>
      <c r="H33">
        <v>50</v>
      </c>
      <c r="J33" s="14">
        <v>2.2905700000000002</v>
      </c>
      <c r="L33" s="11"/>
      <c r="M33" s="11"/>
      <c r="N33" s="11"/>
      <c r="R33" s="7"/>
    </row>
    <row r="34" spans="1:18" x14ac:dyDescent="0.2">
      <c r="A34" t="s">
        <v>17</v>
      </c>
      <c r="B34" t="s">
        <v>40</v>
      </c>
      <c r="C34" t="s">
        <v>36</v>
      </c>
      <c r="D34" s="3">
        <v>45524</v>
      </c>
      <c r="E34" s="4">
        <v>0.46041666666666664</v>
      </c>
      <c r="F34" t="s">
        <v>20</v>
      </c>
      <c r="G34">
        <v>31</v>
      </c>
      <c r="H34">
        <v>50</v>
      </c>
      <c r="J34" s="11">
        <v>2.3113800000000002</v>
      </c>
      <c r="K34" s="11"/>
      <c r="L34" s="11"/>
      <c r="M34" s="11"/>
      <c r="N34" s="11"/>
      <c r="P34" t="s">
        <v>43</v>
      </c>
    </row>
    <row r="35" spans="1:18" x14ac:dyDescent="0.2">
      <c r="A35" t="s">
        <v>17</v>
      </c>
      <c r="B35" t="s">
        <v>40</v>
      </c>
      <c r="C35" t="s">
        <v>36</v>
      </c>
      <c r="D35" s="3">
        <v>45524</v>
      </c>
      <c r="E35" s="4">
        <v>0.49652777777777779</v>
      </c>
      <c r="F35" t="s">
        <v>20</v>
      </c>
      <c r="G35">
        <v>41</v>
      </c>
      <c r="H35">
        <v>50</v>
      </c>
      <c r="J35" s="14">
        <v>3.6379600000000001</v>
      </c>
      <c r="R35" s="7" t="s">
        <v>44</v>
      </c>
    </row>
    <row r="36" spans="1:18" x14ac:dyDescent="0.2">
      <c r="A36" t="s">
        <v>17</v>
      </c>
      <c r="B36" t="s">
        <v>40</v>
      </c>
      <c r="C36" t="s">
        <v>36</v>
      </c>
      <c r="D36" s="3">
        <v>45524</v>
      </c>
      <c r="E36" s="4">
        <v>0.51041666666666663</v>
      </c>
      <c r="F36" t="s">
        <v>20</v>
      </c>
      <c r="G36">
        <v>52</v>
      </c>
      <c r="H36">
        <v>50</v>
      </c>
      <c r="J36" s="14">
        <v>4.5999999999999996</v>
      </c>
      <c r="R36" s="7" t="s">
        <v>45</v>
      </c>
    </row>
    <row r="37" spans="1:18" x14ac:dyDescent="0.2">
      <c r="A37" t="s">
        <v>17</v>
      </c>
      <c r="B37" t="s">
        <v>40</v>
      </c>
      <c r="C37" t="s">
        <v>36</v>
      </c>
      <c r="D37" s="3">
        <v>45524</v>
      </c>
      <c r="E37" s="16">
        <v>0.54513888888888884</v>
      </c>
      <c r="F37" t="s">
        <v>20</v>
      </c>
      <c r="G37">
        <v>54</v>
      </c>
      <c r="H37">
        <v>50</v>
      </c>
      <c r="P37" s="15" t="s">
        <v>46</v>
      </c>
      <c r="Q37" s="15"/>
      <c r="R37" s="17" t="s">
        <v>47</v>
      </c>
    </row>
    <row r="38" spans="1:18" x14ac:dyDescent="0.2">
      <c r="A38" t="s">
        <v>17</v>
      </c>
      <c r="B38" t="s">
        <v>40</v>
      </c>
      <c r="C38" t="s">
        <v>36</v>
      </c>
      <c r="D38" s="3">
        <v>45524</v>
      </c>
      <c r="E38" s="4">
        <v>0.55555555555555558</v>
      </c>
      <c r="F38" t="s">
        <v>20</v>
      </c>
      <c r="G38">
        <v>56.5</v>
      </c>
      <c r="H38">
        <v>50</v>
      </c>
      <c r="J38" s="14">
        <v>4.4429299999999996</v>
      </c>
      <c r="P38" t="s">
        <v>46</v>
      </c>
      <c r="R38" s="18" t="s">
        <v>48</v>
      </c>
    </row>
    <row r="39" spans="1:18" x14ac:dyDescent="0.2">
      <c r="A39" t="s">
        <v>17</v>
      </c>
      <c r="B39" t="s">
        <v>40</v>
      </c>
      <c r="C39" t="s">
        <v>36</v>
      </c>
      <c r="D39" s="3">
        <v>45524</v>
      </c>
      <c r="E39" s="16">
        <v>0.58680555555555558</v>
      </c>
      <c r="F39" t="s">
        <v>20</v>
      </c>
      <c r="G39" t="s">
        <v>33</v>
      </c>
      <c r="H39" t="s">
        <v>33</v>
      </c>
      <c r="R39" s="7" t="s">
        <v>49</v>
      </c>
    </row>
    <row r="40" spans="1:18" x14ac:dyDescent="0.2">
      <c r="A40" t="s">
        <v>17</v>
      </c>
      <c r="B40" t="s">
        <v>40</v>
      </c>
      <c r="C40" t="s">
        <v>36</v>
      </c>
      <c r="D40" s="3">
        <v>45524</v>
      </c>
      <c r="E40" s="4">
        <v>0.59583333333333333</v>
      </c>
      <c r="F40" t="s">
        <v>20</v>
      </c>
      <c r="G40">
        <v>100</v>
      </c>
      <c r="H40">
        <v>50</v>
      </c>
      <c r="J40" s="14">
        <v>5.6324199999999998</v>
      </c>
      <c r="R40" s="15" t="s">
        <v>50</v>
      </c>
    </row>
    <row r="41" spans="1:18" x14ac:dyDescent="0.2">
      <c r="A41" t="s">
        <v>17</v>
      </c>
      <c r="B41" t="s">
        <v>51</v>
      </c>
      <c r="C41" t="s">
        <v>36</v>
      </c>
      <c r="D41" s="3">
        <v>45524</v>
      </c>
      <c r="E41" s="4">
        <v>0.63194444444444442</v>
      </c>
      <c r="F41" t="s">
        <v>20</v>
      </c>
      <c r="G41">
        <v>200</v>
      </c>
      <c r="H41" s="19">
        <v>50</v>
      </c>
      <c r="J41">
        <v>6.1113600000000003</v>
      </c>
      <c r="R41" s="19" t="s">
        <v>52</v>
      </c>
    </row>
    <row r="42" spans="1:18" x14ac:dyDescent="0.2">
      <c r="A42" t="s">
        <v>17</v>
      </c>
      <c r="B42" t="s">
        <v>51</v>
      </c>
      <c r="C42" t="s">
        <v>36</v>
      </c>
      <c r="D42" s="3">
        <v>45524</v>
      </c>
      <c r="E42" s="4">
        <v>0.66666666666666663</v>
      </c>
      <c r="F42" t="s">
        <v>20</v>
      </c>
      <c r="G42">
        <v>200</v>
      </c>
      <c r="H42" s="19">
        <v>50</v>
      </c>
      <c r="J42" s="15">
        <v>2.3765800000000001</v>
      </c>
      <c r="P42" t="s">
        <v>43</v>
      </c>
      <c r="R42" s="19" t="s">
        <v>53</v>
      </c>
    </row>
    <row r="43" spans="1:18" x14ac:dyDescent="0.2">
      <c r="A43" t="s">
        <v>17</v>
      </c>
      <c r="B43" t="s">
        <v>51</v>
      </c>
      <c r="C43" t="s">
        <v>36</v>
      </c>
      <c r="D43" s="3">
        <v>45524</v>
      </c>
      <c r="E43" s="4">
        <v>0.69305555555555554</v>
      </c>
      <c r="F43" t="s">
        <v>20</v>
      </c>
      <c r="G43">
        <v>200</v>
      </c>
      <c r="H43" s="19">
        <v>50</v>
      </c>
      <c r="J43" s="15">
        <v>1.89829</v>
      </c>
      <c r="R43" t="s">
        <v>54</v>
      </c>
    </row>
    <row r="44" spans="1:18" x14ac:dyDescent="0.2">
      <c r="A44" t="s">
        <v>17</v>
      </c>
      <c r="B44" s="11" t="s">
        <v>51</v>
      </c>
      <c r="C44" t="s">
        <v>36</v>
      </c>
      <c r="D44" s="3">
        <v>45525</v>
      </c>
      <c r="E44" s="4">
        <v>0.26041666666666669</v>
      </c>
      <c r="F44" t="s">
        <v>20</v>
      </c>
      <c r="G44">
        <v>150</v>
      </c>
      <c r="H44" s="19">
        <v>50</v>
      </c>
      <c r="I44">
        <v>35</v>
      </c>
      <c r="J44">
        <v>1.19181</v>
      </c>
      <c r="P44" t="s">
        <v>55</v>
      </c>
      <c r="R44" s="7" t="s">
        <v>56</v>
      </c>
    </row>
    <row r="45" spans="1:18" x14ac:dyDescent="0.2">
      <c r="A45" t="s">
        <v>17</v>
      </c>
      <c r="B45" s="11" t="s">
        <v>51</v>
      </c>
      <c r="C45" t="s">
        <v>36</v>
      </c>
      <c r="D45" s="3">
        <v>45525</v>
      </c>
      <c r="E45" s="4">
        <v>0.27083333333333331</v>
      </c>
      <c r="F45" t="s">
        <v>20</v>
      </c>
      <c r="G45">
        <v>70</v>
      </c>
      <c r="H45" s="19">
        <v>50</v>
      </c>
      <c r="I45">
        <v>16</v>
      </c>
      <c r="J45">
        <v>1.19774</v>
      </c>
    </row>
    <row r="46" spans="1:18" x14ac:dyDescent="0.2">
      <c r="A46" t="s">
        <v>17</v>
      </c>
      <c r="B46" s="11" t="s">
        <v>51</v>
      </c>
      <c r="C46" t="s">
        <v>36</v>
      </c>
      <c r="D46" s="3">
        <v>45525</v>
      </c>
      <c r="E46" s="4">
        <v>0.29166666666666669</v>
      </c>
      <c r="G46">
        <v>70</v>
      </c>
      <c r="H46" s="19">
        <v>50</v>
      </c>
      <c r="I46">
        <v>16</v>
      </c>
      <c r="J46">
        <v>1.31738</v>
      </c>
    </row>
    <row r="47" spans="1:18" x14ac:dyDescent="0.2">
      <c r="A47" t="s">
        <v>17</v>
      </c>
      <c r="B47" s="11" t="s">
        <v>51</v>
      </c>
      <c r="C47" t="s">
        <v>36</v>
      </c>
      <c r="D47" s="3">
        <v>45525</v>
      </c>
      <c r="E47" s="4">
        <v>0.3125</v>
      </c>
      <c r="G47">
        <v>70</v>
      </c>
      <c r="H47" s="19">
        <v>50</v>
      </c>
      <c r="I47">
        <v>16</v>
      </c>
      <c r="J47">
        <v>1.28894</v>
      </c>
    </row>
    <row r="48" spans="1:18" x14ac:dyDescent="0.2">
      <c r="D48" s="3"/>
    </row>
  </sheetData>
  <conditionalFormatting sqref="D2:D47">
    <cfRule type="colorScale" priority="1">
      <colorScale>
        <cfvo type="min"/>
        <cfvo type="percentile" val="50"/>
        <cfvo type="max"/>
        <color rgb="FF63BE7B"/>
        <color rgb="FFFFEB84"/>
        <color rgb="FFF8696B"/>
      </colorScale>
    </cfRule>
  </conditionalFormatting>
  <conditionalFormatting sqref="F24:F27 F30:F45 G39:H39">
    <cfRule type="colorScale" priority="4">
      <colorScale>
        <cfvo type="min"/>
        <cfvo type="max"/>
        <color rgb="FFFFEF9C"/>
        <color rgb="FF63BE7B"/>
      </colorScale>
    </cfRule>
  </conditionalFormatting>
  <conditionalFormatting sqref="J24:J27">
    <cfRule type="colorScale" priority="3">
      <colorScale>
        <cfvo type="min"/>
        <cfvo type="percentile" val="50"/>
        <cfvo type="max"/>
        <color theme="7" tint="0.79998168889431442"/>
        <color rgb="FFFFC000"/>
        <color rgb="FFFF0000"/>
      </colorScale>
    </cfRule>
  </conditionalFormatting>
  <conditionalFormatting sqref="K24:L27">
    <cfRule type="colorScale" priority="2">
      <colorScale>
        <cfvo type="min"/>
        <cfvo type="percentile" val="50"/>
        <cfvo type="max"/>
        <color theme="7" tint="0.79998168889431442"/>
        <color rgb="FFFFC00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72FD1-C63F-2640-9F4E-C0242B69FC11}">
  <dimension ref="A1"/>
  <sheetViews>
    <sheetView workbookViewId="0"/>
  </sheetViews>
  <sheetFormatPr baseColWidth="10" defaultRowHeight="16" x14ac:dyDescent="0.2"/>
  <sheetData>
    <row r="1" spans="1:1" x14ac:dyDescent="0.2">
      <c r="A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POHL Eric</dc:creator>
  <cp:lastModifiedBy>POHL Eric</cp:lastModifiedBy>
  <dcterms:created xsi:type="dcterms:W3CDTF">2025-04-28T19:45:13Z</dcterms:created>
  <dcterms:modified xsi:type="dcterms:W3CDTF">2025-05-06T12:16:15Z</dcterms:modified>
</cp:coreProperties>
</file>