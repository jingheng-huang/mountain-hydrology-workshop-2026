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pohle/Dropbox/Central_Asia/DISCHARGE/Q-FL/"/>
    </mc:Choice>
  </mc:AlternateContent>
  <xr:revisionPtr revIDLastSave="0" documentId="13_ncr:1_{6C61F308-EE72-494F-A207-5E1F58F0877F}" xr6:coauthVersionLast="47" xr6:coauthVersionMax="47" xr10:uidLastSave="{00000000-0000-0000-0000-000000000000}"/>
  <bookViews>
    <workbookView xWindow="23600" yWindow="-28300" windowWidth="51200" windowHeight="28300" activeTab="1" xr2:uid="{1D49A3F8-2DF0-584B-8DE0-EE344CC1AC40}"/>
  </bookViews>
  <sheets>
    <sheet name="Sheet1" sheetId="1" r:id="rId1"/>
    <sheet name="clea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3" i="1" l="1"/>
  <c r="O24" i="1"/>
  <c r="O3" i="1"/>
  <c r="O4" i="1"/>
  <c r="O5" i="1"/>
  <c r="O6" i="1"/>
  <c r="O7" i="1"/>
  <c r="O8" i="1"/>
  <c r="O9" i="1"/>
  <c r="O10" i="1"/>
  <c r="O11" i="1"/>
  <c r="O50" i="1"/>
  <c r="O51" i="1"/>
  <c r="O52" i="1"/>
  <c r="O53" i="1"/>
  <c r="O54" i="1"/>
  <c r="O55" i="1"/>
  <c r="O56" i="1"/>
  <c r="O57" i="1"/>
  <c r="O58" i="1"/>
  <c r="O59" i="1"/>
  <c r="O60" i="1"/>
  <c r="O61" i="1"/>
  <c r="O62" i="1"/>
  <c r="O63" i="1"/>
  <c r="O64" i="1"/>
  <c r="O65" i="1"/>
  <c r="O2" i="1"/>
  <c r="F3" i="1"/>
  <c r="F6" i="1"/>
  <c r="F7" i="1"/>
  <c r="F8" i="1"/>
  <c r="F9" i="1"/>
  <c r="F10" i="1"/>
  <c r="F11" i="1"/>
  <c r="F14" i="1"/>
  <c r="F15" i="1"/>
  <c r="F16" i="1"/>
  <c r="F17" i="1"/>
  <c r="F18" i="1"/>
  <c r="F19" i="1"/>
  <c r="F20" i="1"/>
  <c r="F21" i="1"/>
  <c r="F24" i="1"/>
  <c r="F25" i="1"/>
  <c r="F26" i="1"/>
  <c r="F27" i="1"/>
  <c r="F30" i="1"/>
  <c r="F31" i="1"/>
  <c r="F32" i="1"/>
  <c r="F33" i="1"/>
  <c r="F34" i="1"/>
  <c r="F35" i="1"/>
  <c r="F36" i="1"/>
  <c r="F37" i="1"/>
  <c r="F38" i="1"/>
  <c r="F39" i="1"/>
  <c r="F40" i="1"/>
  <c r="F41" i="1"/>
  <c r="F42" i="1"/>
  <c r="F43" i="1"/>
  <c r="F44" i="1"/>
  <c r="F45" i="1"/>
  <c r="F46" i="1"/>
  <c r="F47" i="1"/>
  <c r="F50" i="1"/>
  <c r="F51" i="1"/>
  <c r="F52" i="1"/>
  <c r="F53" i="1"/>
  <c r="F54" i="1"/>
  <c r="F55" i="1"/>
  <c r="F56" i="1"/>
  <c r="F57" i="1"/>
  <c r="F58" i="1"/>
  <c r="F59" i="1"/>
  <c r="F60" i="1"/>
  <c r="F61" i="1"/>
  <c r="F62" i="1"/>
  <c r="F63" i="1"/>
  <c r="F64" i="1"/>
  <c r="F65" i="1"/>
  <c r="F2" i="1"/>
</calcChain>
</file>

<file path=xl/sharedStrings.xml><?xml version="1.0" encoding="utf-8"?>
<sst xmlns="http://schemas.openxmlformats.org/spreadsheetml/2006/main" count="322" uniqueCount="67">
  <si>
    <t>place</t>
  </si>
  <si>
    <t>injection point</t>
  </si>
  <si>
    <t>measurement point</t>
  </si>
  <si>
    <t>date</t>
  </si>
  <si>
    <t>tracer</t>
  </si>
  <si>
    <t>amount [ml](F) or [g](S)</t>
  </si>
  <si>
    <t>base solution [g/l]</t>
  </si>
  <si>
    <t>approx signal max [ppb](F) or [mg/l](S)</t>
  </si>
  <si>
    <t>discharge (calc) [m3/s]</t>
  </si>
  <si>
    <t>discharge (calc with extrapolation) [m3/s]</t>
  </si>
  <si>
    <t>discharge (manual adjusts) [m3/s]</t>
  </si>
  <si>
    <t>discharge (calc) [l/s]</t>
  </si>
  <si>
    <t>uncertainty [%]</t>
  </si>
  <si>
    <t>calibration?</t>
  </si>
  <si>
    <t>quality [3 - dubious]</t>
  </si>
  <si>
    <t>comment</t>
  </si>
  <si>
    <t>plot</t>
  </si>
  <si>
    <t>G354</t>
  </si>
  <si>
    <t>G354_INJ_2019-08-22</t>
  </si>
  <si>
    <t>G354_FL_2019-08-23</t>
  </si>
  <si>
    <t>F</t>
  </si>
  <si>
    <t>NO CALIB</t>
  </si>
  <si>
    <t>no calibration at all</t>
  </si>
  <si>
    <t xml:space="preserve">104g ; must be the liquid. So this should correspond to 104ml of the 300g/l solution from fluotechnik. </t>
  </si>
  <si>
    <t>measurements of 52g by eye. Half of the 104 ml. Useless? No calib anyways. What happened with the other half? Maybe first injection (day before) was also just 52g?</t>
  </si>
  <si>
    <t>yes, 10:27</t>
  </si>
  <si>
    <t>yes, 11:15</t>
  </si>
  <si>
    <t>yes, 14:27</t>
  </si>
  <si>
    <t>needs repair</t>
  </si>
  <si>
    <t>Probably no calibration either. Picked up by Tomas and co. after bridge was destroyed and no access possible in summer 2021</t>
  </si>
  <si>
    <t>yes 2</t>
  </si>
  <si>
    <r>
      <rPr>
        <sz val="12"/>
        <color rgb="FFFF0000"/>
        <rFont val="Calibri (Body)"/>
      </rPr>
      <t>Value looks very high</t>
    </r>
    <r>
      <rPr>
        <sz val="12"/>
        <color rgb="FFFF0000"/>
        <rFont val="Aptos Narrow"/>
        <family val="2"/>
        <scheme val="minor"/>
      </rPr>
      <t>! Problem with several weeks before prepared calibration fluid / and possible exposure to sun light? The signals look very low; maybe result of decay.</t>
    </r>
  </si>
  <si>
    <r>
      <rPr>
        <sz val="12"/>
        <color rgb="FFFF0000"/>
        <rFont val="Calibri (Body)"/>
      </rPr>
      <t>not repaired - bad calibration; no idea which point is good. Second point adds very little. So maybe only point 1.</t>
    </r>
    <r>
      <rPr>
        <sz val="12"/>
        <color rgb="FFFF0000"/>
        <rFont val="Aptos Narrow"/>
        <family val="2"/>
        <scheme val="minor"/>
      </rPr>
      <t>needs repair</t>
    </r>
  </si>
  <si>
    <t>bad calibration</t>
  </si>
  <si>
    <t>/</t>
  </si>
  <si>
    <t>broken. Not useful</t>
  </si>
  <si>
    <t>G354_INJ-HIGH_2022</t>
  </si>
  <si>
    <t>G354_FL_2022</t>
  </si>
  <si>
    <t>sudden increase in water level and sediment concentration</t>
  </si>
  <si>
    <t>Using calibration from later experiment</t>
  </si>
  <si>
    <t>100m further upstream</t>
  </si>
  <si>
    <t>G354_INJ-LOW_2022</t>
  </si>
  <si>
    <t>yes, 08:51</t>
  </si>
  <si>
    <t>Using previous calibration</t>
  </si>
  <si>
    <t>yes</t>
  </si>
  <si>
    <t>signal jumping, background of 0.1-0.3 ppb, can be partly repaired</t>
  </si>
  <si>
    <t>can partly be repaired</t>
  </si>
  <si>
    <t>yes, 12:50</t>
  </si>
  <si>
    <t>bad</t>
  </si>
  <si>
    <t>good</t>
  </si>
  <si>
    <t>not working, too much sediments</t>
  </si>
  <si>
    <t>VERY NOISY</t>
  </si>
  <si>
    <t>Second curve is much higher. Only few minutes after. Maybe wrong dose??? The 5.6 m3s make sense. The 3.2 from the stronger curve not so much. Maybe related to new liquid and old calib liquid? Calibration signals are clearly declining over time (See  2024 - Measurements_G354.xlsx)</t>
  </si>
  <si>
    <t>G354_INJ-HIGH_2024</t>
  </si>
  <si>
    <t>new solution: made in tent. Different solution than calibration fluid! Images show 51.86 g // check fieldbook</t>
  </si>
  <si>
    <t>new solution: jumping signal; maybe 400 ml? or even 500 ml?</t>
  </si>
  <si>
    <t>okish</t>
  </si>
  <si>
    <t>yes, 5:50</t>
  </si>
  <si>
    <t>wait for jinghengs confirmation</t>
  </si>
  <si>
    <t>F-Sommer</t>
  </si>
  <si>
    <t>high uncertainty but only because second probe looked bad</t>
  </si>
  <si>
    <t>strong linear trend in mV signal</t>
  </si>
  <si>
    <t>uncertainty says bad signal to noise but is actually ok</t>
  </si>
  <si>
    <t>uncertainty makes no sense</t>
  </si>
  <si>
    <t>time (UTC+6)</t>
  </si>
  <si>
    <t>time (UTC+0)</t>
  </si>
  <si>
    <t>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</si>
</sst>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rgb="FFFF0000"/>
      <name val="Aptos Narrow"/>
      <family val="2"/>
      <scheme val="minor"/>
    </font>
    <font>
      <b/>
      <sz val="12"/>
      <color theme="1"/>
      <name val="Aptos Narrow"/>
      <family val="2"/>
      <scheme val="minor"/>
    </font>
    <font>
      <sz val="12"/>
      <color rgb="FFFF32E5"/>
      <name val="Aptos Narrow"/>
      <family val="2"/>
      <scheme val="minor"/>
    </font>
    <font>
      <sz val="12"/>
      <color rgb="FFFF0000"/>
      <name val="Calibri (Body)"/>
    </font>
    <font>
      <sz val="12"/>
      <name val="Aptos Narrow"/>
      <family val="2"/>
      <scheme val="minor"/>
    </font>
    <font>
      <sz val="12"/>
      <color rgb="FF00B050"/>
      <name val="Aptos Narrow"/>
      <family val="2"/>
      <scheme val="minor"/>
    </font>
    <font>
      <b/>
      <sz val="12"/>
      <color rgb="FFFF32E5"/>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21">
    <xf numFmtId="0" fontId="0" fillId="0" borderId="0" xfId="0"/>
    <xf numFmtId="0" fontId="2" fillId="0" borderId="0" xfId="0" applyFont="1"/>
    <xf numFmtId="0" fontId="2" fillId="0" borderId="0" xfId="0" applyFont="1" applyAlignment="1">
      <alignment wrapText="1"/>
    </xf>
    <xf numFmtId="14" fontId="0" fillId="0" borderId="0" xfId="0" applyNumberFormat="1"/>
    <xf numFmtId="20" fontId="0" fillId="0" borderId="0" xfId="0" applyNumberFormat="1"/>
    <xf numFmtId="0" fontId="0" fillId="0" borderId="0" xfId="0" applyAlignment="1">
      <alignment wrapText="1"/>
    </xf>
    <xf numFmtId="20" fontId="3" fillId="0" borderId="0" xfId="0" applyNumberFormat="1" applyFont="1"/>
    <xf numFmtId="0" fontId="3" fillId="0" borderId="0" xfId="0" applyFont="1"/>
    <xf numFmtId="0" fontId="1" fillId="0" borderId="0" xfId="0" applyFont="1" applyAlignment="1">
      <alignment wrapText="1"/>
    </xf>
    <xf numFmtId="0" fontId="1" fillId="2" borderId="0" xfId="0" applyFont="1" applyFill="1"/>
    <xf numFmtId="0" fontId="3" fillId="0" borderId="0" xfId="0" applyFont="1" applyAlignment="1">
      <alignment wrapText="1"/>
    </xf>
    <xf numFmtId="0" fontId="5" fillId="0" borderId="0" xfId="0" applyFont="1"/>
    <xf numFmtId="0" fontId="6" fillId="0" borderId="0" xfId="0" applyFont="1"/>
    <xf numFmtId="20" fontId="5" fillId="0" borderId="0" xfId="0" applyNumberFormat="1" applyFont="1"/>
    <xf numFmtId="0" fontId="0" fillId="2" borderId="0" xfId="0" applyFill="1"/>
    <xf numFmtId="0" fontId="0" fillId="3" borderId="0" xfId="0" applyFill="1"/>
    <xf numFmtId="20" fontId="3" fillId="2" borderId="0" xfId="0" applyNumberFormat="1" applyFont="1" applyFill="1"/>
    <xf numFmtId="0" fontId="3" fillId="2" borderId="0" xfId="0" applyFont="1" applyFill="1"/>
    <xf numFmtId="0" fontId="7" fillId="0" borderId="0" xfId="0" applyFont="1"/>
    <xf numFmtId="0" fontId="1" fillId="0" borderId="0" xfId="0" applyFont="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FB7DC-9A1A-DE44-905A-E04F84E1CF3A}">
  <dimension ref="A1:AA65"/>
  <sheetViews>
    <sheetView workbookViewId="0">
      <selection activeCell="S1" activeCellId="3" sqref="D1:F1048576 K1:K1048576 L1:L1048576 S1:S1048576"/>
    </sheetView>
  </sheetViews>
  <sheetFormatPr baseColWidth="10" defaultRowHeight="16" x14ac:dyDescent="0.2"/>
  <cols>
    <col min="2" max="2" width="21.1640625" customWidth="1"/>
    <col min="3" max="3" width="18.83203125" bestFit="1" customWidth="1"/>
    <col min="4" max="4" width="16.1640625" customWidth="1"/>
    <col min="5" max="5" width="12.6640625" customWidth="1"/>
    <col min="6" max="6" width="14" customWidth="1"/>
    <col min="17" max="18" width="21.33203125" customWidth="1"/>
  </cols>
  <sheetData>
    <row r="1" spans="1:27" ht="68" x14ac:dyDescent="0.2">
      <c r="A1" s="1" t="s">
        <v>0</v>
      </c>
      <c r="B1" s="1" t="s">
        <v>1</v>
      </c>
      <c r="C1" s="1" t="s">
        <v>2</v>
      </c>
      <c r="D1" s="1" t="s">
        <v>3</v>
      </c>
      <c r="E1" s="1" t="s">
        <v>64</v>
      </c>
      <c r="F1" s="1" t="s">
        <v>65</v>
      </c>
      <c r="G1" s="2" t="s">
        <v>4</v>
      </c>
      <c r="H1" s="2" t="s">
        <v>5</v>
      </c>
      <c r="I1" s="2" t="s">
        <v>6</v>
      </c>
      <c r="J1" s="2" t="s">
        <v>7</v>
      </c>
      <c r="K1" s="2" t="s">
        <v>8</v>
      </c>
      <c r="L1" s="2" t="s">
        <v>9</v>
      </c>
      <c r="M1" s="2" t="s">
        <v>10</v>
      </c>
      <c r="N1" s="2" t="s">
        <v>11</v>
      </c>
      <c r="O1" s="2" t="s">
        <v>66</v>
      </c>
      <c r="P1" s="2" t="s">
        <v>12</v>
      </c>
      <c r="Q1" s="2" t="s">
        <v>13</v>
      </c>
      <c r="R1" s="2" t="s">
        <v>14</v>
      </c>
      <c r="S1" s="2" t="s">
        <v>15</v>
      </c>
      <c r="AA1" t="s">
        <v>16</v>
      </c>
    </row>
    <row r="2" spans="1:27" ht="17" x14ac:dyDescent="0.2">
      <c r="A2" t="s">
        <v>17</v>
      </c>
      <c r="B2" t="s">
        <v>18</v>
      </c>
      <c r="C2" t="s">
        <v>19</v>
      </c>
      <c r="D2" s="3">
        <v>43700</v>
      </c>
      <c r="E2" s="4">
        <v>0.61111111111111116</v>
      </c>
      <c r="F2" s="4">
        <f>E2-TIME(6,0,0)</f>
        <v>0.36111111111111116</v>
      </c>
      <c r="G2" s="5" t="s">
        <v>20</v>
      </c>
      <c r="H2" s="5">
        <v>104</v>
      </c>
      <c r="I2" s="5">
        <v>300</v>
      </c>
      <c r="J2" s="5"/>
      <c r="K2" s="5" t="s">
        <v>21</v>
      </c>
      <c r="L2" s="5"/>
      <c r="O2" t="e">
        <f>AVERAGE(K2:M2)</f>
        <v>#DIV/0!</v>
      </c>
      <c r="Q2" t="s">
        <v>22</v>
      </c>
      <c r="S2" t="s">
        <v>23</v>
      </c>
    </row>
    <row r="3" spans="1:27" ht="17" x14ac:dyDescent="0.2">
      <c r="A3" t="s">
        <v>17</v>
      </c>
      <c r="B3" t="s">
        <v>18</v>
      </c>
      <c r="C3" t="s">
        <v>19</v>
      </c>
      <c r="D3" s="3">
        <v>43701</v>
      </c>
      <c r="E3" s="4">
        <v>0.30208333333333331</v>
      </c>
      <c r="F3" s="4">
        <f t="shared" ref="F3:F65" si="0">E3-TIME(6,0,0)</f>
        <v>5.2083333333333315E-2</v>
      </c>
      <c r="G3" s="5" t="s">
        <v>20</v>
      </c>
      <c r="H3" s="5">
        <v>52</v>
      </c>
      <c r="I3" s="5">
        <v>300</v>
      </c>
      <c r="J3" s="5"/>
      <c r="K3" s="5" t="s">
        <v>21</v>
      </c>
      <c r="L3" s="5"/>
      <c r="O3" t="e">
        <f t="shared" ref="O3:O65" si="1">AVERAGE(K3:M3)</f>
        <v>#DIV/0!</v>
      </c>
      <c r="Q3" t="s">
        <v>22</v>
      </c>
      <c r="S3" t="s">
        <v>24</v>
      </c>
    </row>
    <row r="4" spans="1:27" x14ac:dyDescent="0.2">
      <c r="F4" s="4"/>
      <c r="G4" s="5"/>
      <c r="H4" s="5"/>
      <c r="I4" s="5"/>
      <c r="J4" s="5"/>
      <c r="K4" s="5"/>
      <c r="L4" s="5"/>
      <c r="O4" t="e">
        <f t="shared" si="1"/>
        <v>#DIV/0!</v>
      </c>
    </row>
    <row r="5" spans="1:27" x14ac:dyDescent="0.2">
      <c r="F5" s="4"/>
      <c r="G5" s="5"/>
      <c r="H5" s="5"/>
      <c r="I5" s="5"/>
      <c r="J5" s="5"/>
      <c r="K5" s="5"/>
      <c r="L5" s="5"/>
      <c r="O5" t="e">
        <f t="shared" si="1"/>
        <v>#DIV/0!</v>
      </c>
    </row>
    <row r="6" spans="1:27" ht="17" x14ac:dyDescent="0.2">
      <c r="A6" t="s">
        <v>17</v>
      </c>
      <c r="B6" t="s">
        <v>18</v>
      </c>
      <c r="C6" t="s">
        <v>19</v>
      </c>
      <c r="D6" s="3">
        <v>44467</v>
      </c>
      <c r="E6" s="4">
        <v>0.45277777777777778</v>
      </c>
      <c r="F6" s="4">
        <f t="shared" si="0"/>
        <v>0.20277777777777778</v>
      </c>
      <c r="G6" s="5" t="s">
        <v>20</v>
      </c>
      <c r="H6" s="5">
        <v>20</v>
      </c>
      <c r="I6" s="5">
        <v>50</v>
      </c>
      <c r="J6" s="5"/>
      <c r="K6" s="5">
        <v>0.36176000000000003</v>
      </c>
      <c r="L6" s="5">
        <v>0.35391</v>
      </c>
      <c r="O6">
        <f t="shared" si="1"/>
        <v>0.35783500000000001</v>
      </c>
      <c r="Q6" t="s">
        <v>25</v>
      </c>
    </row>
    <row r="7" spans="1:27" ht="17" x14ac:dyDescent="0.2">
      <c r="A7" t="s">
        <v>17</v>
      </c>
      <c r="B7" t="s">
        <v>18</v>
      </c>
      <c r="C7" t="s">
        <v>19</v>
      </c>
      <c r="D7" s="3">
        <v>44467</v>
      </c>
      <c r="E7" s="4">
        <v>0.51388888888888884</v>
      </c>
      <c r="F7" s="4">
        <f t="shared" si="0"/>
        <v>0.26388888888888884</v>
      </c>
      <c r="G7" s="5" t="s">
        <v>20</v>
      </c>
      <c r="H7" s="5">
        <v>25</v>
      </c>
      <c r="I7" s="5">
        <v>50</v>
      </c>
      <c r="J7" s="5"/>
      <c r="K7" s="5">
        <v>0.45865699999999998</v>
      </c>
      <c r="L7" s="5">
        <v>0.45893800000000001</v>
      </c>
      <c r="O7">
        <f t="shared" si="1"/>
        <v>0.45879749999999997</v>
      </c>
      <c r="Q7" t="s">
        <v>26</v>
      </c>
    </row>
    <row r="8" spans="1:27" ht="17" x14ac:dyDescent="0.2">
      <c r="A8" t="s">
        <v>17</v>
      </c>
      <c r="B8" t="s">
        <v>18</v>
      </c>
      <c r="C8" t="s">
        <v>19</v>
      </c>
      <c r="D8" s="3">
        <v>44467</v>
      </c>
      <c r="E8" s="4">
        <v>0.54861111111111116</v>
      </c>
      <c r="F8" s="4">
        <f t="shared" si="0"/>
        <v>0.29861111111111116</v>
      </c>
      <c r="G8" s="5" t="s">
        <v>20</v>
      </c>
      <c r="H8" s="5">
        <v>40</v>
      </c>
      <c r="I8" s="5">
        <v>50</v>
      </c>
      <c r="J8" s="5"/>
      <c r="K8" s="5">
        <v>0.95194900000000005</v>
      </c>
      <c r="L8" s="5">
        <v>0.95079499999999995</v>
      </c>
      <c r="O8">
        <f t="shared" si="1"/>
        <v>0.951372</v>
      </c>
    </row>
    <row r="9" spans="1:27" ht="17" x14ac:dyDescent="0.2">
      <c r="A9" t="s">
        <v>17</v>
      </c>
      <c r="B9" t="s">
        <v>18</v>
      </c>
      <c r="C9" t="s">
        <v>19</v>
      </c>
      <c r="D9" s="3">
        <v>44467</v>
      </c>
      <c r="E9" s="4">
        <v>0.58958333333333335</v>
      </c>
      <c r="F9" s="4">
        <f t="shared" si="0"/>
        <v>0.33958333333333335</v>
      </c>
      <c r="G9" s="5" t="s">
        <v>20</v>
      </c>
      <c r="H9" s="5">
        <v>60</v>
      </c>
      <c r="I9" s="5">
        <v>50</v>
      </c>
      <c r="J9" s="5"/>
      <c r="K9" s="5">
        <v>1.5181739999999999</v>
      </c>
      <c r="L9" s="5">
        <v>1.430958</v>
      </c>
      <c r="O9">
        <f t="shared" si="1"/>
        <v>1.4745659999999998</v>
      </c>
    </row>
    <row r="10" spans="1:27" ht="17" x14ac:dyDescent="0.2">
      <c r="A10" t="s">
        <v>17</v>
      </c>
      <c r="B10" t="s">
        <v>18</v>
      </c>
      <c r="C10" t="s">
        <v>19</v>
      </c>
      <c r="D10" s="3">
        <v>44467</v>
      </c>
      <c r="E10" s="6">
        <v>0.63194444444444442</v>
      </c>
      <c r="F10" s="4">
        <f t="shared" si="0"/>
        <v>0.38194444444444442</v>
      </c>
      <c r="G10" s="5" t="s">
        <v>20</v>
      </c>
      <c r="H10" s="5">
        <v>120</v>
      </c>
      <c r="I10" s="5">
        <v>50</v>
      </c>
      <c r="J10" s="5"/>
      <c r="K10" s="5">
        <v>1.7124999999999999</v>
      </c>
      <c r="L10" s="5"/>
      <c r="O10">
        <f t="shared" si="1"/>
        <v>1.7124999999999999</v>
      </c>
      <c r="Q10" t="s">
        <v>27</v>
      </c>
      <c r="S10" s="7" t="s">
        <v>28</v>
      </c>
    </row>
    <row r="11" spans="1:27" ht="17" x14ac:dyDescent="0.2">
      <c r="A11" t="s">
        <v>17</v>
      </c>
      <c r="B11" t="s">
        <v>18</v>
      </c>
      <c r="C11" t="s">
        <v>19</v>
      </c>
      <c r="D11" s="3">
        <v>44467</v>
      </c>
      <c r="E11" s="4">
        <v>0.66666666666666663</v>
      </c>
      <c r="F11" s="4">
        <f t="shared" si="0"/>
        <v>0.41666666666666663</v>
      </c>
      <c r="G11" s="5" t="s">
        <v>20</v>
      </c>
      <c r="H11" s="5">
        <v>120</v>
      </c>
      <c r="I11" s="5">
        <v>50</v>
      </c>
      <c r="J11" s="5"/>
      <c r="K11" s="5">
        <v>1.51603</v>
      </c>
      <c r="L11" s="5">
        <v>1.5164</v>
      </c>
      <c r="O11">
        <f t="shared" si="1"/>
        <v>1.5162149999999999</v>
      </c>
      <c r="S11" t="s">
        <v>29</v>
      </c>
    </row>
    <row r="12" spans="1:27" x14ac:dyDescent="0.2">
      <c r="F12" s="4"/>
      <c r="G12" s="5"/>
      <c r="H12" s="5"/>
      <c r="I12" s="5"/>
      <c r="J12" s="5"/>
      <c r="K12" s="5"/>
      <c r="L12" s="5"/>
    </row>
    <row r="13" spans="1:27" x14ac:dyDescent="0.2">
      <c r="F13" s="4"/>
      <c r="G13" s="5"/>
      <c r="H13" s="5"/>
      <c r="I13" s="5"/>
      <c r="J13" s="5"/>
      <c r="K13" s="5"/>
      <c r="L13" s="5"/>
    </row>
    <row r="14" spans="1:27" ht="17" x14ac:dyDescent="0.2">
      <c r="A14" t="s">
        <v>17</v>
      </c>
      <c r="B14" t="s">
        <v>18</v>
      </c>
      <c r="C14" t="s">
        <v>19</v>
      </c>
      <c r="D14" s="3">
        <v>44790</v>
      </c>
      <c r="E14" s="4">
        <v>0.45833333333333331</v>
      </c>
      <c r="F14" s="4">
        <f t="shared" si="0"/>
        <v>0.20833333333333331</v>
      </c>
      <c r="G14" s="5" t="s">
        <v>20</v>
      </c>
      <c r="H14" s="5">
        <v>20</v>
      </c>
      <c r="I14" s="5">
        <v>50</v>
      </c>
      <c r="J14" s="5"/>
      <c r="K14" s="8">
        <v>0.93</v>
      </c>
      <c r="L14" s="5"/>
      <c r="Q14" t="s">
        <v>30</v>
      </c>
      <c r="R14">
        <v>3</v>
      </c>
      <c r="S14" s="9" t="s">
        <v>31</v>
      </c>
    </row>
    <row r="15" spans="1:27" ht="17" x14ac:dyDescent="0.2">
      <c r="A15" t="s">
        <v>17</v>
      </c>
      <c r="B15" t="s">
        <v>18</v>
      </c>
      <c r="C15" t="s">
        <v>19</v>
      </c>
      <c r="D15" s="3">
        <v>44790</v>
      </c>
      <c r="E15" s="4">
        <v>0.46875</v>
      </c>
      <c r="F15" s="4">
        <f t="shared" si="0"/>
        <v>0.21875</v>
      </c>
      <c r="G15" s="5" t="s">
        <v>20</v>
      </c>
      <c r="H15" s="5">
        <v>30</v>
      </c>
      <c r="I15" s="5">
        <v>50</v>
      </c>
      <c r="J15" s="5"/>
      <c r="K15" s="8">
        <v>0.85596000000000005</v>
      </c>
      <c r="L15" s="8">
        <v>0.85141999999999995</v>
      </c>
      <c r="R15">
        <v>3</v>
      </c>
      <c r="S15" s="9"/>
    </row>
    <row r="16" spans="1:27" ht="17" x14ac:dyDescent="0.2">
      <c r="A16" t="s">
        <v>17</v>
      </c>
      <c r="B16" t="s">
        <v>18</v>
      </c>
      <c r="C16" t="s">
        <v>19</v>
      </c>
      <c r="D16" s="3">
        <v>44790</v>
      </c>
      <c r="E16" s="4">
        <v>0.61111111111111116</v>
      </c>
      <c r="F16" s="4">
        <f t="shared" si="0"/>
        <v>0.36111111111111116</v>
      </c>
      <c r="G16" s="5" t="s">
        <v>20</v>
      </c>
      <c r="H16" s="5">
        <v>200</v>
      </c>
      <c r="I16" s="5">
        <v>50</v>
      </c>
      <c r="J16" s="5"/>
      <c r="K16" s="8">
        <v>1.4144399999999999</v>
      </c>
      <c r="L16" s="8"/>
      <c r="Q16" t="s">
        <v>30</v>
      </c>
      <c r="R16">
        <v>3</v>
      </c>
      <c r="S16" s="9" t="s">
        <v>32</v>
      </c>
    </row>
    <row r="17" spans="1:19" ht="17" x14ac:dyDescent="0.2">
      <c r="A17" t="s">
        <v>17</v>
      </c>
      <c r="B17" t="s">
        <v>18</v>
      </c>
      <c r="C17" t="s">
        <v>19</v>
      </c>
      <c r="D17" s="3">
        <v>44790</v>
      </c>
      <c r="E17" s="4">
        <v>0.625</v>
      </c>
      <c r="F17" s="4">
        <f t="shared" si="0"/>
        <v>0.375</v>
      </c>
      <c r="G17" s="5" t="s">
        <v>20</v>
      </c>
      <c r="H17" s="5">
        <v>400</v>
      </c>
      <c r="I17" s="5">
        <v>50</v>
      </c>
      <c r="J17" s="5"/>
      <c r="K17" s="8">
        <v>1.27929</v>
      </c>
      <c r="L17" s="8"/>
      <c r="R17">
        <v>3</v>
      </c>
      <c r="S17" s="9" t="s">
        <v>33</v>
      </c>
    </row>
    <row r="18" spans="1:19" ht="17" x14ac:dyDescent="0.2">
      <c r="A18" t="s">
        <v>17</v>
      </c>
      <c r="B18" t="s">
        <v>18</v>
      </c>
      <c r="C18" t="s">
        <v>19</v>
      </c>
      <c r="D18" s="3">
        <v>44790</v>
      </c>
      <c r="E18" s="6">
        <v>0.66666666666666663</v>
      </c>
      <c r="F18" s="4">
        <f t="shared" si="0"/>
        <v>0.41666666666666663</v>
      </c>
      <c r="G18" s="10" t="s">
        <v>20</v>
      </c>
      <c r="H18" s="10" t="s">
        <v>34</v>
      </c>
      <c r="I18" s="5" t="s">
        <v>34</v>
      </c>
      <c r="J18" s="5"/>
      <c r="K18" s="8"/>
      <c r="L18" s="8"/>
      <c r="S18" s="9" t="s">
        <v>35</v>
      </c>
    </row>
    <row r="19" spans="1:19" ht="17" x14ac:dyDescent="0.2">
      <c r="A19" t="s">
        <v>17</v>
      </c>
      <c r="B19" t="s">
        <v>18</v>
      </c>
      <c r="C19" t="s">
        <v>19</v>
      </c>
      <c r="D19" s="3">
        <v>44790</v>
      </c>
      <c r="E19" s="4">
        <v>0.70833333333333337</v>
      </c>
      <c r="F19" s="4">
        <f t="shared" si="0"/>
        <v>0.45833333333333337</v>
      </c>
      <c r="G19" s="5" t="s">
        <v>20</v>
      </c>
      <c r="H19" s="5">
        <v>300</v>
      </c>
      <c r="I19" s="5">
        <v>50</v>
      </c>
      <c r="J19" s="5"/>
      <c r="K19" s="8">
        <v>1.01911</v>
      </c>
      <c r="L19" s="8"/>
      <c r="Q19" t="s">
        <v>30</v>
      </c>
      <c r="R19">
        <v>3</v>
      </c>
      <c r="S19" s="9" t="s">
        <v>33</v>
      </c>
    </row>
    <row r="20" spans="1:19" ht="17" x14ac:dyDescent="0.2">
      <c r="A20" t="s">
        <v>17</v>
      </c>
      <c r="B20" t="s">
        <v>18</v>
      </c>
      <c r="C20" t="s">
        <v>19</v>
      </c>
      <c r="D20" s="3">
        <v>44790</v>
      </c>
      <c r="E20" s="4">
        <v>0.79166666666666663</v>
      </c>
      <c r="F20" s="4">
        <f t="shared" si="0"/>
        <v>0.54166666666666663</v>
      </c>
      <c r="G20" s="5" t="s">
        <v>20</v>
      </c>
      <c r="H20" s="5">
        <v>300</v>
      </c>
      <c r="I20" s="5">
        <v>50</v>
      </c>
      <c r="J20" s="5"/>
      <c r="K20" s="8">
        <v>0.53432999999999997</v>
      </c>
      <c r="L20" s="8"/>
      <c r="Q20" t="s">
        <v>30</v>
      </c>
      <c r="R20">
        <v>3</v>
      </c>
      <c r="S20" s="9"/>
    </row>
    <row r="21" spans="1:19" ht="17" x14ac:dyDescent="0.2">
      <c r="A21" t="s">
        <v>17</v>
      </c>
      <c r="B21" t="s">
        <v>18</v>
      </c>
      <c r="C21" t="s">
        <v>19</v>
      </c>
      <c r="D21" s="3">
        <v>44791</v>
      </c>
      <c r="E21" s="4">
        <v>0.375</v>
      </c>
      <c r="F21" s="4">
        <f t="shared" si="0"/>
        <v>0.125</v>
      </c>
      <c r="G21" s="5" t="s">
        <v>20</v>
      </c>
      <c r="H21" s="5">
        <v>100</v>
      </c>
      <c r="I21" s="5">
        <v>50</v>
      </c>
      <c r="J21" s="5"/>
      <c r="K21" s="8">
        <v>0.34662999999999999</v>
      </c>
      <c r="L21" s="8"/>
      <c r="Q21" t="s">
        <v>30</v>
      </c>
      <c r="R21">
        <v>3</v>
      </c>
      <c r="S21" s="9"/>
    </row>
    <row r="22" spans="1:19" x14ac:dyDescent="0.2">
      <c r="F22" s="4"/>
      <c r="G22" s="5"/>
      <c r="H22" s="5"/>
      <c r="I22" s="5"/>
      <c r="J22" s="5"/>
      <c r="K22" s="5"/>
      <c r="L22" s="5"/>
    </row>
    <row r="23" spans="1:19" x14ac:dyDescent="0.2">
      <c r="F23" s="4"/>
      <c r="G23" s="5"/>
      <c r="H23" s="5"/>
      <c r="I23" s="5"/>
      <c r="J23" s="5"/>
      <c r="K23" s="5"/>
      <c r="L23" s="5"/>
    </row>
    <row r="24" spans="1:19" x14ac:dyDescent="0.2">
      <c r="A24" t="s">
        <v>17</v>
      </c>
      <c r="B24" t="s">
        <v>36</v>
      </c>
      <c r="C24" t="s">
        <v>37</v>
      </c>
      <c r="D24" s="3">
        <v>45120</v>
      </c>
      <c r="E24" s="4">
        <v>0.40972222222222227</v>
      </c>
      <c r="F24" s="4">
        <f t="shared" si="0"/>
        <v>0.15972222222222227</v>
      </c>
      <c r="G24" t="s">
        <v>20</v>
      </c>
      <c r="H24">
        <v>20</v>
      </c>
      <c r="I24">
        <v>50</v>
      </c>
      <c r="K24" s="11">
        <v>0.31516</v>
      </c>
      <c r="L24" s="11">
        <v>0.30848999999999999</v>
      </c>
      <c r="M24" s="11"/>
      <c r="N24" s="11"/>
      <c r="O24" s="20">
        <f>0.66*AVERAGE(K24:L24) + 0.33*AVERAGE(K25:L25)</f>
        <v>0.71837205000000004</v>
      </c>
      <c r="P24" s="11"/>
    </row>
    <row r="25" spans="1:19" x14ac:dyDescent="0.2">
      <c r="A25" t="s">
        <v>17</v>
      </c>
      <c r="B25" t="s">
        <v>36</v>
      </c>
      <c r="C25" t="s">
        <v>37</v>
      </c>
      <c r="D25" s="3">
        <v>45120</v>
      </c>
      <c r="E25" s="4">
        <v>0.43055555555555558</v>
      </c>
      <c r="F25" s="4">
        <f t="shared" si="0"/>
        <v>0.18055555555555558</v>
      </c>
      <c r="G25" t="s">
        <v>20</v>
      </c>
      <c r="H25">
        <v>50</v>
      </c>
      <c r="I25">
        <v>50</v>
      </c>
      <c r="J25">
        <v>15</v>
      </c>
      <c r="K25" s="11">
        <v>1.61693</v>
      </c>
      <c r="L25" s="11">
        <v>1.4895400000000001</v>
      </c>
      <c r="M25" s="11"/>
      <c r="N25" s="11"/>
      <c r="P25" s="11"/>
      <c r="S25" t="s">
        <v>38</v>
      </c>
    </row>
    <row r="26" spans="1:19" x14ac:dyDescent="0.2">
      <c r="A26" t="s">
        <v>17</v>
      </c>
      <c r="B26" t="s">
        <v>36</v>
      </c>
      <c r="C26" t="s">
        <v>37</v>
      </c>
      <c r="D26" s="3">
        <v>45120</v>
      </c>
      <c r="E26" s="4">
        <v>0.45833333333333331</v>
      </c>
      <c r="F26" s="4">
        <f t="shared" si="0"/>
        <v>0.20833333333333331</v>
      </c>
      <c r="G26" t="s">
        <v>20</v>
      </c>
      <c r="H26">
        <v>100</v>
      </c>
      <c r="I26">
        <v>50</v>
      </c>
      <c r="K26" s="11">
        <v>2.7448199999999998</v>
      </c>
      <c r="L26" s="11">
        <v>2.7368999999999999</v>
      </c>
      <c r="M26" s="11"/>
      <c r="N26" s="11"/>
      <c r="P26" s="11"/>
      <c r="S26" t="s">
        <v>39</v>
      </c>
    </row>
    <row r="27" spans="1:19" x14ac:dyDescent="0.2">
      <c r="A27" t="s">
        <v>17</v>
      </c>
      <c r="B27" t="s">
        <v>36</v>
      </c>
      <c r="C27" t="s">
        <v>37</v>
      </c>
      <c r="D27" s="3">
        <v>45120</v>
      </c>
      <c r="E27" s="4">
        <v>0.46527777777777773</v>
      </c>
      <c r="F27" s="4">
        <f t="shared" si="0"/>
        <v>0.21527777777777773</v>
      </c>
      <c r="G27" t="s">
        <v>20</v>
      </c>
      <c r="H27">
        <v>200</v>
      </c>
      <c r="I27">
        <v>50</v>
      </c>
      <c r="K27" s="11">
        <v>2.3185899999999999</v>
      </c>
      <c r="L27" s="11">
        <v>2.3147099999999998</v>
      </c>
      <c r="M27" s="11"/>
      <c r="N27" s="11"/>
      <c r="P27" s="11"/>
      <c r="S27" t="s">
        <v>40</v>
      </c>
    </row>
    <row r="28" spans="1:19" x14ac:dyDescent="0.2">
      <c r="F28" s="4"/>
      <c r="K28" s="11"/>
      <c r="L28" s="11"/>
      <c r="M28" s="11"/>
      <c r="N28" s="11"/>
      <c r="P28" s="11"/>
    </row>
    <row r="29" spans="1:19" x14ac:dyDescent="0.2">
      <c r="F29" s="4"/>
      <c r="K29" s="11"/>
      <c r="L29" s="11"/>
      <c r="M29" s="11"/>
      <c r="N29" s="11"/>
      <c r="P29" s="11"/>
    </row>
    <row r="30" spans="1:19" x14ac:dyDescent="0.2">
      <c r="A30" t="s">
        <v>17</v>
      </c>
      <c r="B30" t="s">
        <v>41</v>
      </c>
      <c r="C30" t="s">
        <v>37</v>
      </c>
      <c r="D30" s="3">
        <v>45524</v>
      </c>
      <c r="E30" s="4">
        <v>0.375</v>
      </c>
      <c r="F30" s="4">
        <f t="shared" si="0"/>
        <v>0.125</v>
      </c>
      <c r="G30" t="s">
        <v>20</v>
      </c>
      <c r="H30">
        <v>50</v>
      </c>
      <c r="I30">
        <v>50</v>
      </c>
      <c r="K30" s="11">
        <v>1.2239500000000001</v>
      </c>
      <c r="L30" s="11">
        <v>1.22194</v>
      </c>
      <c r="M30" s="11"/>
      <c r="N30" s="11"/>
      <c r="P30" s="11"/>
      <c r="Q30" t="s">
        <v>42</v>
      </c>
    </row>
    <row r="31" spans="1:19" x14ac:dyDescent="0.2">
      <c r="A31" t="s">
        <v>17</v>
      </c>
      <c r="B31" t="s">
        <v>41</v>
      </c>
      <c r="C31" t="s">
        <v>37</v>
      </c>
      <c r="D31" s="3">
        <v>45524</v>
      </c>
      <c r="E31" s="4">
        <v>0.39791666666666664</v>
      </c>
      <c r="F31" s="4">
        <f t="shared" si="0"/>
        <v>0.14791666666666664</v>
      </c>
      <c r="G31" t="s">
        <v>20</v>
      </c>
      <c r="H31">
        <v>26.5</v>
      </c>
      <c r="I31">
        <v>50</v>
      </c>
      <c r="K31" s="11">
        <v>1.31952</v>
      </c>
      <c r="L31" s="11"/>
      <c r="M31" s="12">
        <v>1.22323</v>
      </c>
      <c r="N31" s="11"/>
      <c r="P31" s="11"/>
      <c r="S31" s="12" t="s">
        <v>43</v>
      </c>
    </row>
    <row r="32" spans="1:19" x14ac:dyDescent="0.2">
      <c r="A32" t="s">
        <v>17</v>
      </c>
      <c r="B32" t="s">
        <v>41</v>
      </c>
      <c r="C32" t="s">
        <v>37</v>
      </c>
      <c r="D32" s="3">
        <v>45524</v>
      </c>
      <c r="E32" s="4">
        <v>0.41666666666666669</v>
      </c>
      <c r="F32" s="4">
        <f t="shared" si="0"/>
        <v>0.16666666666666669</v>
      </c>
      <c r="G32" t="s">
        <v>20</v>
      </c>
      <c r="H32">
        <v>25</v>
      </c>
      <c r="I32">
        <v>50</v>
      </c>
      <c r="K32" s="11">
        <v>1.4431099999999999</v>
      </c>
      <c r="L32" s="11"/>
      <c r="M32" s="11"/>
      <c r="N32" s="11"/>
      <c r="P32" s="11"/>
    </row>
    <row r="33" spans="1:19" x14ac:dyDescent="0.2">
      <c r="A33" t="s">
        <v>17</v>
      </c>
      <c r="B33" t="s">
        <v>41</v>
      </c>
      <c r="C33" t="s">
        <v>37</v>
      </c>
      <c r="D33" s="3">
        <v>45524</v>
      </c>
      <c r="E33" s="13">
        <v>0.4375</v>
      </c>
      <c r="F33" s="4">
        <f t="shared" si="0"/>
        <v>0.1875</v>
      </c>
      <c r="G33" t="s">
        <v>20</v>
      </c>
      <c r="H33">
        <v>41</v>
      </c>
      <c r="I33">
        <v>50</v>
      </c>
      <c r="K33" s="11">
        <v>2.77603</v>
      </c>
      <c r="L33" s="14">
        <v>2.2905700000000002</v>
      </c>
      <c r="M33" s="11"/>
      <c r="N33" s="11"/>
      <c r="O33" s="20">
        <f>0.66*AVERAGE(K33) + 0.33*AVERAGE(K34)</f>
        <v>2.5949352000000001</v>
      </c>
      <c r="P33" s="11"/>
      <c r="S33" s="7"/>
    </row>
    <row r="34" spans="1:19" x14ac:dyDescent="0.2">
      <c r="A34" t="s">
        <v>17</v>
      </c>
      <c r="B34" t="s">
        <v>41</v>
      </c>
      <c r="C34" t="s">
        <v>37</v>
      </c>
      <c r="D34" s="3">
        <v>45524</v>
      </c>
      <c r="E34" s="4">
        <v>0.46041666666666664</v>
      </c>
      <c r="F34" s="4">
        <f t="shared" si="0"/>
        <v>0.21041666666666664</v>
      </c>
      <c r="G34" t="s">
        <v>20</v>
      </c>
      <c r="H34">
        <v>31</v>
      </c>
      <c r="I34">
        <v>50</v>
      </c>
      <c r="K34" s="11">
        <v>2.3113800000000002</v>
      </c>
      <c r="L34" s="11"/>
      <c r="M34" s="11"/>
      <c r="N34" s="11"/>
      <c r="P34" s="11"/>
      <c r="Q34" t="s">
        <v>44</v>
      </c>
    </row>
    <row r="35" spans="1:19" x14ac:dyDescent="0.2">
      <c r="A35" t="s">
        <v>17</v>
      </c>
      <c r="B35" t="s">
        <v>41</v>
      </c>
      <c r="C35" t="s">
        <v>37</v>
      </c>
      <c r="D35" s="3">
        <v>45524</v>
      </c>
      <c r="E35" s="4">
        <v>0.49652777777777779</v>
      </c>
      <c r="F35" s="4">
        <f t="shared" si="0"/>
        <v>0.24652777777777779</v>
      </c>
      <c r="G35" t="s">
        <v>20</v>
      </c>
      <c r="H35">
        <v>41</v>
      </c>
      <c r="I35">
        <v>50</v>
      </c>
      <c r="K35">
        <v>4.9112999999999998</v>
      </c>
      <c r="L35" s="14">
        <v>3.6379600000000001</v>
      </c>
      <c r="S35" s="7" t="s">
        <v>45</v>
      </c>
    </row>
    <row r="36" spans="1:19" x14ac:dyDescent="0.2">
      <c r="A36" t="s">
        <v>17</v>
      </c>
      <c r="B36" t="s">
        <v>41</v>
      </c>
      <c r="C36" t="s">
        <v>37</v>
      </c>
      <c r="D36" s="3">
        <v>45524</v>
      </c>
      <c r="E36" s="4">
        <v>0.51041666666666663</v>
      </c>
      <c r="F36" s="4">
        <f t="shared" si="0"/>
        <v>0.26041666666666663</v>
      </c>
      <c r="G36" t="s">
        <v>20</v>
      </c>
      <c r="H36">
        <v>52</v>
      </c>
      <c r="I36">
        <v>50</v>
      </c>
      <c r="K36" s="15">
        <v>7.8648300000000004</v>
      </c>
      <c r="L36" s="14">
        <v>4.5999999999999996</v>
      </c>
      <c r="S36" s="7" t="s">
        <v>46</v>
      </c>
    </row>
    <row r="37" spans="1:19" x14ac:dyDescent="0.2">
      <c r="A37" t="s">
        <v>17</v>
      </c>
      <c r="B37" t="s">
        <v>41</v>
      </c>
      <c r="C37" t="s">
        <v>37</v>
      </c>
      <c r="D37" s="3">
        <v>45524</v>
      </c>
      <c r="E37" s="16">
        <v>0.54513888888888884</v>
      </c>
      <c r="F37" s="4">
        <f t="shared" si="0"/>
        <v>0.29513888888888884</v>
      </c>
      <c r="G37" t="s">
        <v>20</v>
      </c>
      <c r="H37">
        <v>54</v>
      </c>
      <c r="I37">
        <v>50</v>
      </c>
      <c r="Q37" s="15" t="s">
        <v>47</v>
      </c>
      <c r="R37" s="15"/>
      <c r="S37" s="17" t="s">
        <v>48</v>
      </c>
    </row>
    <row r="38" spans="1:19" x14ac:dyDescent="0.2">
      <c r="A38" t="s">
        <v>17</v>
      </c>
      <c r="B38" t="s">
        <v>41</v>
      </c>
      <c r="C38" t="s">
        <v>37</v>
      </c>
      <c r="D38" s="3">
        <v>45524</v>
      </c>
      <c r="E38" s="4">
        <v>0.55555555555555558</v>
      </c>
      <c r="F38" s="4">
        <f t="shared" si="0"/>
        <v>0.30555555555555558</v>
      </c>
      <c r="G38" t="s">
        <v>20</v>
      </c>
      <c r="H38">
        <v>56.5</v>
      </c>
      <c r="I38">
        <v>50</v>
      </c>
      <c r="K38" s="14">
        <v>4.4429299999999996</v>
      </c>
      <c r="Q38" t="s">
        <v>47</v>
      </c>
      <c r="S38" s="18" t="s">
        <v>49</v>
      </c>
    </row>
    <row r="39" spans="1:19" x14ac:dyDescent="0.2">
      <c r="A39" t="s">
        <v>17</v>
      </c>
      <c r="B39" t="s">
        <v>41</v>
      </c>
      <c r="C39" t="s">
        <v>37</v>
      </c>
      <c r="D39" s="3">
        <v>45524</v>
      </c>
      <c r="E39" s="16">
        <v>0.58680555555555558</v>
      </c>
      <c r="F39" s="4">
        <f t="shared" si="0"/>
        <v>0.33680555555555558</v>
      </c>
      <c r="G39" t="s">
        <v>20</v>
      </c>
      <c r="H39" t="s">
        <v>34</v>
      </c>
      <c r="I39" t="s">
        <v>34</v>
      </c>
      <c r="S39" s="7" t="s">
        <v>50</v>
      </c>
    </row>
    <row r="40" spans="1:19" x14ac:dyDescent="0.2">
      <c r="A40" t="s">
        <v>17</v>
      </c>
      <c r="B40" t="s">
        <v>41</v>
      </c>
      <c r="C40" t="s">
        <v>37</v>
      </c>
      <c r="D40" s="3">
        <v>45524</v>
      </c>
      <c r="E40" s="4">
        <v>0.59583333333333333</v>
      </c>
      <c r="F40" s="4">
        <f t="shared" si="0"/>
        <v>0.34583333333333333</v>
      </c>
      <c r="G40" t="s">
        <v>20</v>
      </c>
      <c r="H40">
        <v>100</v>
      </c>
      <c r="I40">
        <v>50</v>
      </c>
      <c r="K40" s="14">
        <v>5.6324199999999998</v>
      </c>
      <c r="L40" t="s">
        <v>51</v>
      </c>
      <c r="S40" s="15" t="s">
        <v>52</v>
      </c>
    </row>
    <row r="41" spans="1:19" x14ac:dyDescent="0.2">
      <c r="A41" t="s">
        <v>17</v>
      </c>
      <c r="B41" t="s">
        <v>53</v>
      </c>
      <c r="C41" t="s">
        <v>37</v>
      </c>
      <c r="D41" s="3">
        <v>45524</v>
      </c>
      <c r="E41" s="4">
        <v>0.63194444444444442</v>
      </c>
      <c r="F41" s="4">
        <f t="shared" si="0"/>
        <v>0.38194444444444442</v>
      </c>
      <c r="G41" t="s">
        <v>20</v>
      </c>
      <c r="H41">
        <v>200</v>
      </c>
      <c r="I41" s="19">
        <v>50</v>
      </c>
      <c r="K41">
        <v>6.1113600000000003</v>
      </c>
      <c r="L41" t="s">
        <v>51</v>
      </c>
      <c r="S41" s="19" t="s">
        <v>54</v>
      </c>
    </row>
    <row r="42" spans="1:19" x14ac:dyDescent="0.2">
      <c r="A42" t="s">
        <v>17</v>
      </c>
      <c r="B42" t="s">
        <v>53</v>
      </c>
      <c r="C42" t="s">
        <v>37</v>
      </c>
      <c r="D42" s="3">
        <v>45524</v>
      </c>
      <c r="E42" s="4">
        <v>0.66666666666666663</v>
      </c>
      <c r="F42" s="4">
        <f t="shared" si="0"/>
        <v>0.41666666666666663</v>
      </c>
      <c r="G42" t="s">
        <v>20</v>
      </c>
      <c r="H42">
        <v>200</v>
      </c>
      <c r="I42" s="19">
        <v>50</v>
      </c>
      <c r="K42" s="15">
        <v>2.3765800000000001</v>
      </c>
      <c r="Q42" t="s">
        <v>44</v>
      </c>
      <c r="S42" s="19" t="s">
        <v>55</v>
      </c>
    </row>
    <row r="43" spans="1:19" x14ac:dyDescent="0.2">
      <c r="A43" t="s">
        <v>17</v>
      </c>
      <c r="B43" t="s">
        <v>53</v>
      </c>
      <c r="C43" t="s">
        <v>37</v>
      </c>
      <c r="D43" s="3">
        <v>45524</v>
      </c>
      <c r="E43" s="4">
        <v>0.69305555555555554</v>
      </c>
      <c r="F43" s="4">
        <f t="shared" si="0"/>
        <v>0.44305555555555554</v>
      </c>
      <c r="G43" t="s">
        <v>20</v>
      </c>
      <c r="H43">
        <v>200</v>
      </c>
      <c r="I43" s="19">
        <v>50</v>
      </c>
      <c r="K43" s="15">
        <v>1.89829</v>
      </c>
      <c r="S43" t="s">
        <v>56</v>
      </c>
    </row>
    <row r="44" spans="1:19" x14ac:dyDescent="0.2">
      <c r="A44" t="s">
        <v>17</v>
      </c>
      <c r="B44" s="11" t="s">
        <v>53</v>
      </c>
      <c r="C44" t="s">
        <v>37</v>
      </c>
      <c r="D44" s="3">
        <v>45525</v>
      </c>
      <c r="E44" s="4">
        <v>0.26041666666666669</v>
      </c>
      <c r="F44" s="4">
        <f t="shared" si="0"/>
        <v>1.0416666666666685E-2</v>
      </c>
      <c r="G44" t="s">
        <v>20</v>
      </c>
      <c r="H44">
        <v>150</v>
      </c>
      <c r="I44" s="19">
        <v>50</v>
      </c>
      <c r="J44">
        <v>35</v>
      </c>
      <c r="K44">
        <v>1.19181</v>
      </c>
      <c r="Q44" t="s">
        <v>57</v>
      </c>
      <c r="S44" s="7" t="s">
        <v>58</v>
      </c>
    </row>
    <row r="45" spans="1:19" x14ac:dyDescent="0.2">
      <c r="A45" t="s">
        <v>17</v>
      </c>
      <c r="B45" s="11" t="s">
        <v>53</v>
      </c>
      <c r="C45" t="s">
        <v>37</v>
      </c>
      <c r="D45" s="3">
        <v>45525</v>
      </c>
      <c r="E45" s="4">
        <v>0.27083333333333331</v>
      </c>
      <c r="F45" s="4">
        <f t="shared" si="0"/>
        <v>2.0833333333333315E-2</v>
      </c>
      <c r="G45" t="s">
        <v>20</v>
      </c>
      <c r="H45">
        <v>70</v>
      </c>
      <c r="I45" s="19">
        <v>50</v>
      </c>
      <c r="J45">
        <v>16</v>
      </c>
      <c r="K45">
        <v>1.19774</v>
      </c>
    </row>
    <row r="46" spans="1:19" x14ac:dyDescent="0.2">
      <c r="A46" t="s">
        <v>17</v>
      </c>
      <c r="B46" s="11" t="s">
        <v>53</v>
      </c>
      <c r="C46" t="s">
        <v>37</v>
      </c>
      <c r="D46" s="3">
        <v>45525</v>
      </c>
      <c r="E46" s="4">
        <v>0.29166666666666669</v>
      </c>
      <c r="F46" s="4">
        <f t="shared" si="0"/>
        <v>4.1666666666666685E-2</v>
      </c>
      <c r="G46" t="s">
        <v>20</v>
      </c>
      <c r="H46">
        <v>70</v>
      </c>
      <c r="I46" s="19">
        <v>50</v>
      </c>
      <c r="J46">
        <v>16</v>
      </c>
      <c r="K46">
        <v>1.31738</v>
      </c>
    </row>
    <row r="47" spans="1:19" x14ac:dyDescent="0.2">
      <c r="A47" t="s">
        <v>17</v>
      </c>
      <c r="B47" s="11" t="s">
        <v>53</v>
      </c>
      <c r="C47" t="s">
        <v>37</v>
      </c>
      <c r="D47" s="3">
        <v>45525</v>
      </c>
      <c r="E47" s="4">
        <v>0.3125</v>
      </c>
      <c r="F47" s="4">
        <f t="shared" si="0"/>
        <v>6.25E-2</v>
      </c>
      <c r="G47" t="s">
        <v>20</v>
      </c>
      <c r="H47">
        <v>70</v>
      </c>
      <c r="I47" s="19">
        <v>50</v>
      </c>
      <c r="J47">
        <v>16</v>
      </c>
      <c r="K47">
        <v>1.28894</v>
      </c>
    </row>
    <row r="48" spans="1:19" x14ac:dyDescent="0.2">
      <c r="D48" s="3"/>
      <c r="F48" s="4"/>
    </row>
    <row r="49" spans="1:19" x14ac:dyDescent="0.2">
      <c r="F49" s="4"/>
    </row>
    <row r="50" spans="1:19" x14ac:dyDescent="0.2">
      <c r="A50" t="s">
        <v>17</v>
      </c>
      <c r="B50" s="11" t="s">
        <v>53</v>
      </c>
      <c r="C50" t="s">
        <v>37</v>
      </c>
      <c r="D50" s="3">
        <v>45882</v>
      </c>
      <c r="E50" s="4">
        <v>0.50347222222222221</v>
      </c>
      <c r="F50" s="4">
        <f t="shared" si="0"/>
        <v>0.25347222222222221</v>
      </c>
      <c r="G50" t="s">
        <v>59</v>
      </c>
      <c r="K50">
        <v>1.8099000000000001</v>
      </c>
      <c r="O50">
        <f t="shared" si="1"/>
        <v>1.8099000000000001</v>
      </c>
      <c r="P50">
        <v>32.06</v>
      </c>
      <c r="S50" t="s">
        <v>60</v>
      </c>
    </row>
    <row r="51" spans="1:19" x14ac:dyDescent="0.2">
      <c r="A51" t="s">
        <v>17</v>
      </c>
      <c r="B51" s="11" t="s">
        <v>53</v>
      </c>
      <c r="C51" t="s">
        <v>37</v>
      </c>
      <c r="D51" s="3">
        <v>45882</v>
      </c>
      <c r="E51" s="4">
        <v>0.53333333333333333</v>
      </c>
      <c r="F51" s="4">
        <f t="shared" si="0"/>
        <v>0.28333333333333333</v>
      </c>
      <c r="G51" s="19" t="s">
        <v>59</v>
      </c>
      <c r="H51" s="19"/>
      <c r="I51" s="19"/>
      <c r="J51" s="19"/>
      <c r="K51" s="19">
        <v>3.4077000000000002</v>
      </c>
      <c r="L51" s="19">
        <v>3.2393000000000001</v>
      </c>
      <c r="O51">
        <f t="shared" si="1"/>
        <v>3.3235000000000001</v>
      </c>
      <c r="P51">
        <v>14.83</v>
      </c>
    </row>
    <row r="52" spans="1:19" x14ac:dyDescent="0.2">
      <c r="A52" t="s">
        <v>17</v>
      </c>
      <c r="B52" s="11" t="s">
        <v>53</v>
      </c>
      <c r="C52" t="s">
        <v>37</v>
      </c>
      <c r="D52" s="3">
        <v>45882</v>
      </c>
      <c r="E52" s="4">
        <v>0.6069444444444444</v>
      </c>
      <c r="F52" s="4">
        <f t="shared" si="0"/>
        <v>0.3569444444444444</v>
      </c>
      <c r="G52" s="19" t="s">
        <v>59</v>
      </c>
      <c r="H52" s="19"/>
      <c r="I52" s="19"/>
      <c r="J52" s="19"/>
      <c r="K52" s="19">
        <v>1.9315</v>
      </c>
      <c r="L52" s="19">
        <v>1.9319999999999999</v>
      </c>
      <c r="O52">
        <f t="shared" si="1"/>
        <v>1.9317500000000001</v>
      </c>
      <c r="P52">
        <v>10.75</v>
      </c>
    </row>
    <row r="53" spans="1:19" x14ac:dyDescent="0.2">
      <c r="A53" t="s">
        <v>17</v>
      </c>
      <c r="B53" s="11" t="s">
        <v>53</v>
      </c>
      <c r="C53" t="s">
        <v>37</v>
      </c>
      <c r="D53" s="3">
        <v>45882</v>
      </c>
      <c r="E53" s="4">
        <v>0.64583333333333337</v>
      </c>
      <c r="F53" s="4">
        <f t="shared" si="0"/>
        <v>0.39583333333333337</v>
      </c>
      <c r="G53" t="s">
        <v>59</v>
      </c>
      <c r="K53">
        <v>2.4969000000000001</v>
      </c>
      <c r="L53">
        <v>2.6659999999999999</v>
      </c>
      <c r="O53">
        <f t="shared" si="1"/>
        <v>2.5814500000000002</v>
      </c>
      <c r="P53">
        <v>17.78</v>
      </c>
      <c r="S53" t="s">
        <v>61</v>
      </c>
    </row>
    <row r="54" spans="1:19" x14ac:dyDescent="0.2">
      <c r="A54" t="s">
        <v>17</v>
      </c>
      <c r="B54" s="11" t="s">
        <v>53</v>
      </c>
      <c r="C54" t="s">
        <v>37</v>
      </c>
      <c r="D54" s="3">
        <v>45882</v>
      </c>
      <c r="E54" s="4">
        <v>0.67986111111111114</v>
      </c>
      <c r="F54" s="4">
        <f t="shared" si="0"/>
        <v>0.42986111111111114</v>
      </c>
      <c r="G54" t="s">
        <v>59</v>
      </c>
      <c r="K54">
        <v>3.0043000000000002</v>
      </c>
      <c r="L54">
        <v>3.1597</v>
      </c>
      <c r="O54">
        <f t="shared" si="1"/>
        <v>3.0819999999999999</v>
      </c>
      <c r="P54">
        <v>17.71</v>
      </c>
    </row>
    <row r="55" spans="1:19" x14ac:dyDescent="0.2">
      <c r="A55" t="s">
        <v>17</v>
      </c>
      <c r="B55" s="11" t="s">
        <v>53</v>
      </c>
      <c r="C55" t="s">
        <v>37</v>
      </c>
      <c r="D55" s="3">
        <v>45883</v>
      </c>
      <c r="E55" s="4">
        <v>0.29166666666666669</v>
      </c>
      <c r="F55" s="4">
        <f t="shared" si="0"/>
        <v>4.1666666666666685E-2</v>
      </c>
      <c r="G55" t="s">
        <v>59</v>
      </c>
      <c r="K55">
        <v>1.0054000000000001</v>
      </c>
      <c r="L55">
        <v>1.0123</v>
      </c>
      <c r="O55">
        <f t="shared" si="1"/>
        <v>1.00885</v>
      </c>
      <c r="P55">
        <v>7.15</v>
      </c>
    </row>
    <row r="56" spans="1:19" x14ac:dyDescent="0.2">
      <c r="A56" t="s">
        <v>17</v>
      </c>
      <c r="B56" s="11" t="s">
        <v>53</v>
      </c>
      <c r="C56" t="s">
        <v>37</v>
      </c>
      <c r="D56" s="3">
        <v>45883</v>
      </c>
      <c r="E56" s="4">
        <v>0.30625000000000002</v>
      </c>
      <c r="F56" s="4">
        <f t="shared" si="0"/>
        <v>5.6250000000000022E-2</v>
      </c>
      <c r="G56" t="s">
        <v>59</v>
      </c>
      <c r="K56">
        <v>1.0317000000000001</v>
      </c>
      <c r="L56">
        <v>1.0137</v>
      </c>
      <c r="O56">
        <f t="shared" si="1"/>
        <v>1.0226999999999999</v>
      </c>
      <c r="P56">
        <v>7.64</v>
      </c>
    </row>
    <row r="57" spans="1:19" x14ac:dyDescent="0.2">
      <c r="A57" t="s">
        <v>17</v>
      </c>
      <c r="B57" s="11" t="s">
        <v>53</v>
      </c>
      <c r="C57" t="s">
        <v>37</v>
      </c>
      <c r="D57" s="3">
        <v>45883</v>
      </c>
      <c r="E57" s="4">
        <v>0.33333333333333331</v>
      </c>
      <c r="F57" s="4">
        <f t="shared" si="0"/>
        <v>8.3333333333333315E-2</v>
      </c>
      <c r="G57" t="s">
        <v>59</v>
      </c>
      <c r="K57">
        <v>1.0076000000000001</v>
      </c>
      <c r="L57">
        <v>1.0033000000000001</v>
      </c>
      <c r="O57">
        <f t="shared" si="1"/>
        <v>1.0054500000000002</v>
      </c>
      <c r="P57">
        <v>7.33</v>
      </c>
    </row>
    <row r="58" spans="1:19" x14ac:dyDescent="0.2">
      <c r="A58" t="s">
        <v>17</v>
      </c>
      <c r="B58" s="11" t="s">
        <v>53</v>
      </c>
      <c r="C58" t="s">
        <v>37</v>
      </c>
      <c r="D58" s="3">
        <v>45883</v>
      </c>
      <c r="E58" s="4">
        <v>0.37083333333333335</v>
      </c>
      <c r="F58" s="4">
        <f t="shared" si="0"/>
        <v>0.12083333333333335</v>
      </c>
      <c r="G58" t="s">
        <v>59</v>
      </c>
      <c r="K58">
        <v>1.0564</v>
      </c>
      <c r="L58">
        <v>1.0639000000000001</v>
      </c>
      <c r="O58">
        <f t="shared" si="1"/>
        <v>1.0601500000000001</v>
      </c>
      <c r="P58">
        <v>11.44</v>
      </c>
    </row>
    <row r="59" spans="1:19" x14ac:dyDescent="0.2">
      <c r="A59" t="s">
        <v>17</v>
      </c>
      <c r="B59" s="11" t="s">
        <v>53</v>
      </c>
      <c r="C59" t="s">
        <v>37</v>
      </c>
      <c r="D59" s="3">
        <v>45883</v>
      </c>
      <c r="E59" s="4">
        <v>0.39305555555555555</v>
      </c>
      <c r="F59" s="4">
        <f t="shared" si="0"/>
        <v>0.14305555555555555</v>
      </c>
      <c r="G59" t="s">
        <v>59</v>
      </c>
      <c r="K59">
        <v>1.4342999999999999</v>
      </c>
      <c r="L59">
        <v>1.4376</v>
      </c>
      <c r="O59">
        <f t="shared" si="1"/>
        <v>1.4359500000000001</v>
      </c>
      <c r="P59">
        <v>18.399999999999999</v>
      </c>
      <c r="S59" t="s">
        <v>62</v>
      </c>
    </row>
    <row r="60" spans="1:19" x14ac:dyDescent="0.2">
      <c r="A60" t="s">
        <v>17</v>
      </c>
      <c r="B60" s="11" t="s">
        <v>53</v>
      </c>
      <c r="C60" t="s">
        <v>37</v>
      </c>
      <c r="D60" s="3">
        <v>45883</v>
      </c>
      <c r="E60" s="4">
        <v>0.4201388888888889</v>
      </c>
      <c r="F60" s="4">
        <f t="shared" si="0"/>
        <v>0.1701388888888889</v>
      </c>
      <c r="G60" t="s">
        <v>59</v>
      </c>
      <c r="K60">
        <v>1.7153</v>
      </c>
      <c r="L60">
        <v>1.633</v>
      </c>
      <c r="O60">
        <f t="shared" si="1"/>
        <v>1.67415</v>
      </c>
      <c r="P60">
        <v>12.38</v>
      </c>
    </row>
    <row r="61" spans="1:19" x14ac:dyDescent="0.2">
      <c r="A61" t="s">
        <v>17</v>
      </c>
      <c r="B61" s="11" t="s">
        <v>53</v>
      </c>
      <c r="C61" t="s">
        <v>37</v>
      </c>
      <c r="D61" s="3">
        <v>45883</v>
      </c>
      <c r="E61" s="4">
        <v>0.4513888888888889</v>
      </c>
      <c r="F61" s="4">
        <f t="shared" si="0"/>
        <v>0.2013888888888889</v>
      </c>
      <c r="G61" t="s">
        <v>59</v>
      </c>
      <c r="K61">
        <v>2.1415999999999999</v>
      </c>
      <c r="L61">
        <v>2.1173999999999999</v>
      </c>
      <c r="O61">
        <f t="shared" si="1"/>
        <v>2.1295000000000002</v>
      </c>
      <c r="P61">
        <v>8.6300000000000008</v>
      </c>
    </row>
    <row r="62" spans="1:19" x14ac:dyDescent="0.2">
      <c r="A62" t="s">
        <v>17</v>
      </c>
      <c r="B62" s="11" t="s">
        <v>53</v>
      </c>
      <c r="C62" t="s">
        <v>37</v>
      </c>
      <c r="D62" s="3">
        <v>45883</v>
      </c>
      <c r="E62" s="4">
        <v>0.48194444444444445</v>
      </c>
      <c r="F62" s="4">
        <f t="shared" si="0"/>
        <v>0.23194444444444445</v>
      </c>
      <c r="G62" t="s">
        <v>59</v>
      </c>
      <c r="K62">
        <v>2.6158999999999999</v>
      </c>
      <c r="L62">
        <v>2.6724000000000001</v>
      </c>
      <c r="O62">
        <f t="shared" si="1"/>
        <v>2.6441499999999998</v>
      </c>
      <c r="P62">
        <v>12.19</v>
      </c>
    </row>
    <row r="63" spans="1:19" x14ac:dyDescent="0.2">
      <c r="A63" t="s">
        <v>17</v>
      </c>
      <c r="B63" s="11" t="s">
        <v>53</v>
      </c>
      <c r="C63" t="s">
        <v>37</v>
      </c>
      <c r="D63" s="3">
        <v>45883</v>
      </c>
      <c r="E63" s="4">
        <v>0.65</v>
      </c>
      <c r="F63" s="4">
        <f t="shared" si="0"/>
        <v>0.4</v>
      </c>
      <c r="G63" t="s">
        <v>59</v>
      </c>
      <c r="K63">
        <v>2.4298000000000002</v>
      </c>
      <c r="L63">
        <v>2.3342000000000001</v>
      </c>
      <c r="O63">
        <f t="shared" si="1"/>
        <v>2.3820000000000001</v>
      </c>
      <c r="P63">
        <v>11.63</v>
      </c>
    </row>
    <row r="64" spans="1:19" x14ac:dyDescent="0.2">
      <c r="A64" t="s">
        <v>17</v>
      </c>
      <c r="B64" s="11" t="s">
        <v>53</v>
      </c>
      <c r="C64" t="s">
        <v>37</v>
      </c>
      <c r="D64" s="3">
        <v>45883</v>
      </c>
      <c r="E64" s="4">
        <v>0.67152777777777772</v>
      </c>
      <c r="F64" s="4">
        <f t="shared" si="0"/>
        <v>0.42152777777777772</v>
      </c>
      <c r="G64" t="s">
        <v>59</v>
      </c>
      <c r="K64">
        <v>2.5676999999999999</v>
      </c>
      <c r="L64">
        <v>2.4691999999999998</v>
      </c>
      <c r="O64">
        <f t="shared" si="1"/>
        <v>2.5184499999999996</v>
      </c>
      <c r="P64">
        <v>11.51</v>
      </c>
    </row>
    <row r="65" spans="1:19" x14ac:dyDescent="0.2">
      <c r="A65" t="s">
        <v>17</v>
      </c>
      <c r="B65" s="11" t="s">
        <v>53</v>
      </c>
      <c r="C65" t="s">
        <v>37</v>
      </c>
      <c r="D65" s="3">
        <v>45883</v>
      </c>
      <c r="E65" s="4">
        <v>0.69722222222222219</v>
      </c>
      <c r="F65" s="4">
        <f t="shared" si="0"/>
        <v>0.44722222222222219</v>
      </c>
      <c r="G65" t="s">
        <v>59</v>
      </c>
      <c r="K65">
        <v>2.6688000000000001</v>
      </c>
      <c r="L65">
        <v>2.6941000000000002</v>
      </c>
      <c r="O65">
        <f t="shared" si="1"/>
        <v>2.6814499999999999</v>
      </c>
      <c r="P65">
        <v>119.47</v>
      </c>
      <c r="S65" t="s">
        <v>63</v>
      </c>
    </row>
  </sheetData>
  <conditionalFormatting sqref="D2:D100">
    <cfRule type="colorScale" priority="1">
      <colorScale>
        <cfvo type="min"/>
        <cfvo type="percentile" val="50"/>
        <cfvo type="max"/>
        <color rgb="FF63BE7B"/>
        <color rgb="FFFFEB84"/>
        <color rgb="FFF8696B"/>
      </colorScale>
    </cfRule>
  </conditionalFormatting>
  <conditionalFormatting sqref="G24:G27 H39:I39 G30:G47">
    <cfRule type="colorScale" priority="4">
      <colorScale>
        <cfvo type="min"/>
        <cfvo type="max"/>
        <color rgb="FFFFEF9C"/>
        <color rgb="FF63BE7B"/>
      </colorScale>
    </cfRule>
  </conditionalFormatting>
  <conditionalFormatting sqref="K24:K27">
    <cfRule type="colorScale" priority="3">
      <colorScale>
        <cfvo type="min"/>
        <cfvo type="percentile" val="50"/>
        <cfvo type="max"/>
        <color theme="7" tint="0.79998168889431442"/>
        <color rgb="FFFFC000"/>
        <color rgb="FFFF0000"/>
      </colorScale>
    </cfRule>
  </conditionalFormatting>
  <conditionalFormatting sqref="L24:M27">
    <cfRule type="colorScale" priority="2">
      <colorScale>
        <cfvo type="min"/>
        <cfvo type="percentile" val="50"/>
        <cfvo type="max"/>
        <color theme="7" tint="0.79998168889431442"/>
        <color rgb="FFFFC000"/>
        <color rgb="FFFF000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E6A3B-9C82-394C-A760-F70D2D1AEBB6}">
  <dimension ref="A1:F65"/>
  <sheetViews>
    <sheetView tabSelected="1" workbookViewId="0">
      <selection activeCell="E13" sqref="E13"/>
    </sheetView>
  </sheetViews>
  <sheetFormatPr baseColWidth="10" defaultRowHeight="16" x14ac:dyDescent="0.2"/>
  <cols>
    <col min="1" max="1" width="16.1640625" customWidth="1"/>
    <col min="2" max="2" width="12.6640625" customWidth="1"/>
    <col min="3" max="3" width="14" customWidth="1"/>
  </cols>
  <sheetData>
    <row r="1" spans="1:6" ht="68" x14ac:dyDescent="0.2">
      <c r="A1" s="1" t="s">
        <v>3</v>
      </c>
      <c r="B1" s="1" t="s">
        <v>64</v>
      </c>
      <c r="C1" s="1" t="s">
        <v>65</v>
      </c>
      <c r="D1" s="2" t="s">
        <v>8</v>
      </c>
      <c r="E1" s="2" t="s">
        <v>9</v>
      </c>
      <c r="F1" s="2" t="s">
        <v>15</v>
      </c>
    </row>
    <row r="2" spans="1:6" x14ac:dyDescent="0.2">
      <c r="A2" s="3">
        <v>43700</v>
      </c>
      <c r="B2" s="4">
        <v>0.61111111111111116</v>
      </c>
      <c r="C2" s="4">
        <v>0.36111111111111116</v>
      </c>
      <c r="D2" s="5"/>
      <c r="E2" s="5"/>
      <c r="F2" t="s">
        <v>23</v>
      </c>
    </row>
    <row r="3" spans="1:6" x14ac:dyDescent="0.2">
      <c r="A3" s="3">
        <v>43701</v>
      </c>
      <c r="B3" s="4">
        <v>0.30208333333333331</v>
      </c>
      <c r="C3" s="4">
        <v>5.2083333333333315E-2</v>
      </c>
      <c r="D3" s="5"/>
      <c r="E3" s="5"/>
      <c r="F3" t="s">
        <v>24</v>
      </c>
    </row>
    <row r="4" spans="1:6" x14ac:dyDescent="0.2">
      <c r="C4" s="4"/>
      <c r="D4" s="5"/>
      <c r="E4" s="5"/>
    </row>
    <row r="5" spans="1:6" x14ac:dyDescent="0.2">
      <c r="C5" s="4"/>
      <c r="D5" s="5"/>
      <c r="E5" s="5"/>
    </row>
    <row r="6" spans="1:6" x14ac:dyDescent="0.2">
      <c r="A6" s="3">
        <v>44467</v>
      </c>
      <c r="B6" s="4">
        <v>0.45277777777777778</v>
      </c>
      <c r="C6" s="4">
        <v>0.20277777777777778</v>
      </c>
      <c r="D6" s="5">
        <v>0.36176000000000003</v>
      </c>
      <c r="E6" s="5">
        <v>0.35391</v>
      </c>
    </row>
    <row r="7" spans="1:6" x14ac:dyDescent="0.2">
      <c r="A7" s="3">
        <v>44467</v>
      </c>
      <c r="B7" s="4">
        <v>0.51388888888888884</v>
      </c>
      <c r="C7" s="4">
        <v>0.26388888888888884</v>
      </c>
      <c r="D7" s="5">
        <v>0.45865699999999998</v>
      </c>
      <c r="E7" s="5">
        <v>0.45893800000000001</v>
      </c>
    </row>
    <row r="8" spans="1:6" x14ac:dyDescent="0.2">
      <c r="A8" s="3">
        <v>44467</v>
      </c>
      <c r="B8" s="4">
        <v>0.54861111111111116</v>
      </c>
      <c r="C8" s="4">
        <v>0.29861111111111116</v>
      </c>
      <c r="D8" s="5">
        <v>0.95194900000000005</v>
      </c>
      <c r="E8" s="5">
        <v>0.95079499999999995</v>
      </c>
    </row>
    <row r="9" spans="1:6" x14ac:dyDescent="0.2">
      <c r="A9" s="3">
        <v>44467</v>
      </c>
      <c r="B9" s="4">
        <v>0.58958333333333335</v>
      </c>
      <c r="C9" s="4">
        <v>0.33958333333333335</v>
      </c>
      <c r="D9" s="5">
        <v>1.5181739999999999</v>
      </c>
      <c r="E9" s="5">
        <v>1.430958</v>
      </c>
    </row>
    <row r="10" spans="1:6" x14ac:dyDescent="0.2">
      <c r="A10" s="3">
        <v>44467</v>
      </c>
      <c r="B10" s="6">
        <v>0.63194444444444442</v>
      </c>
      <c r="C10" s="4">
        <v>0.38194444444444442</v>
      </c>
      <c r="D10" s="5">
        <v>1.7124999999999999</v>
      </c>
      <c r="E10" s="5"/>
      <c r="F10" s="7" t="s">
        <v>28</v>
      </c>
    </row>
    <row r="11" spans="1:6" x14ac:dyDescent="0.2">
      <c r="A11" s="3">
        <v>44467</v>
      </c>
      <c r="B11" s="4">
        <v>0.66666666666666663</v>
      </c>
      <c r="C11" s="4">
        <v>0.41666666666666663</v>
      </c>
      <c r="D11" s="5">
        <v>1.51603</v>
      </c>
      <c r="E11" s="5">
        <v>1.5164</v>
      </c>
      <c r="F11" t="s">
        <v>29</v>
      </c>
    </row>
    <row r="12" spans="1:6" x14ac:dyDescent="0.2">
      <c r="C12" s="4"/>
      <c r="D12" s="5"/>
      <c r="E12" s="5"/>
    </row>
    <row r="13" spans="1:6" x14ac:dyDescent="0.2">
      <c r="C13" s="4"/>
      <c r="D13" s="5"/>
      <c r="E13" s="5"/>
    </row>
    <row r="14" spans="1:6" x14ac:dyDescent="0.2">
      <c r="A14" s="3">
        <v>44790</v>
      </c>
      <c r="B14" s="4">
        <v>0.45833333333333331</v>
      </c>
      <c r="C14" s="4">
        <v>0.20833333333333331</v>
      </c>
      <c r="D14" s="8"/>
      <c r="E14" s="5"/>
      <c r="F14" s="9" t="s">
        <v>31</v>
      </c>
    </row>
    <row r="15" spans="1:6" x14ac:dyDescent="0.2">
      <c r="A15" s="3">
        <v>44790</v>
      </c>
      <c r="B15" s="4">
        <v>0.46875</v>
      </c>
      <c r="C15" s="4">
        <v>0.21875</v>
      </c>
      <c r="D15" s="8"/>
      <c r="E15" s="8"/>
      <c r="F15" s="9"/>
    </row>
    <row r="16" spans="1:6" x14ac:dyDescent="0.2">
      <c r="A16" s="3">
        <v>44790</v>
      </c>
      <c r="B16" s="4">
        <v>0.61111111111111116</v>
      </c>
      <c r="C16" s="4">
        <v>0.36111111111111116</v>
      </c>
      <c r="D16" s="8"/>
      <c r="E16" s="8"/>
      <c r="F16" s="9" t="s">
        <v>32</v>
      </c>
    </row>
    <row r="17" spans="1:6" x14ac:dyDescent="0.2">
      <c r="A17" s="3">
        <v>44790</v>
      </c>
      <c r="B17" s="4">
        <v>0.625</v>
      </c>
      <c r="C17" s="4">
        <v>0.375</v>
      </c>
      <c r="D17" s="8"/>
      <c r="E17" s="8"/>
      <c r="F17" s="9" t="s">
        <v>33</v>
      </c>
    </row>
    <row r="18" spans="1:6" x14ac:dyDescent="0.2">
      <c r="A18" s="3">
        <v>44790</v>
      </c>
      <c r="B18" s="6">
        <v>0.66666666666666663</v>
      </c>
      <c r="C18" s="4">
        <v>0.41666666666666663</v>
      </c>
      <c r="D18" s="8"/>
      <c r="E18" s="8"/>
      <c r="F18" s="9" t="s">
        <v>35</v>
      </c>
    </row>
    <row r="19" spans="1:6" x14ac:dyDescent="0.2">
      <c r="A19" s="3">
        <v>44790</v>
      </c>
      <c r="B19" s="4">
        <v>0.70833333333333337</v>
      </c>
      <c r="C19" s="4">
        <v>0.45833333333333337</v>
      </c>
      <c r="D19" s="8"/>
      <c r="E19" s="8"/>
      <c r="F19" s="9" t="s">
        <v>33</v>
      </c>
    </row>
    <row r="20" spans="1:6" x14ac:dyDescent="0.2">
      <c r="A20" s="3">
        <v>44790</v>
      </c>
      <c r="B20" s="4">
        <v>0.79166666666666663</v>
      </c>
      <c r="C20" s="4">
        <v>0.54166666666666663</v>
      </c>
      <c r="D20" s="8"/>
      <c r="E20" s="8"/>
      <c r="F20" s="9"/>
    </row>
    <row r="21" spans="1:6" x14ac:dyDescent="0.2">
      <c r="A21" s="3">
        <v>44791</v>
      </c>
      <c r="B21" s="4">
        <v>0.375</v>
      </c>
      <c r="C21" s="4">
        <v>0.125</v>
      </c>
      <c r="D21" s="8"/>
      <c r="E21" s="8"/>
      <c r="F21" s="9"/>
    </row>
    <row r="22" spans="1:6" x14ac:dyDescent="0.2">
      <c r="C22" s="4"/>
      <c r="D22" s="5"/>
      <c r="E22" s="5"/>
    </row>
    <row r="23" spans="1:6" x14ac:dyDescent="0.2">
      <c r="C23" s="4"/>
      <c r="D23" s="5"/>
      <c r="E23" s="5"/>
    </row>
    <row r="24" spans="1:6" x14ac:dyDescent="0.2">
      <c r="A24" s="3">
        <v>45120</v>
      </c>
      <c r="B24" s="4">
        <v>0.40972222222222227</v>
      </c>
      <c r="C24" s="4">
        <v>0.15972222222222227</v>
      </c>
      <c r="D24" s="11">
        <v>0.31516</v>
      </c>
      <c r="E24" s="11">
        <v>0.30848999999999999</v>
      </c>
    </row>
    <row r="25" spans="1:6" x14ac:dyDescent="0.2">
      <c r="A25" s="3">
        <v>45120</v>
      </c>
      <c r="B25" s="4">
        <v>0.43055555555555558</v>
      </c>
      <c r="C25" s="4">
        <v>0.18055555555555558</v>
      </c>
      <c r="D25" s="11">
        <v>1.61693</v>
      </c>
      <c r="E25" s="11">
        <v>1.4895400000000001</v>
      </c>
      <c r="F25" t="s">
        <v>38</v>
      </c>
    </row>
    <row r="26" spans="1:6" x14ac:dyDescent="0.2">
      <c r="A26" s="3">
        <v>45120</v>
      </c>
      <c r="B26" s="4">
        <v>0.45833333333333331</v>
      </c>
      <c r="C26" s="4">
        <v>0.20833333333333331</v>
      </c>
      <c r="D26" s="11">
        <v>2.7448199999999998</v>
      </c>
      <c r="E26" s="11">
        <v>2.7368999999999999</v>
      </c>
      <c r="F26" t="s">
        <v>39</v>
      </c>
    </row>
    <row r="27" spans="1:6" x14ac:dyDescent="0.2">
      <c r="A27" s="3">
        <v>45120</v>
      </c>
      <c r="B27" s="4">
        <v>0.46527777777777773</v>
      </c>
      <c r="C27" s="4">
        <v>0.21527777777777773</v>
      </c>
      <c r="D27" s="11">
        <v>2.3185899999999999</v>
      </c>
      <c r="E27" s="11">
        <v>2.3147099999999998</v>
      </c>
      <c r="F27" t="s">
        <v>40</v>
      </c>
    </row>
    <row r="28" spans="1:6" x14ac:dyDescent="0.2">
      <c r="C28" s="4"/>
      <c r="D28" s="11"/>
      <c r="E28" s="11"/>
    </row>
    <row r="29" spans="1:6" x14ac:dyDescent="0.2">
      <c r="C29" s="4"/>
      <c r="D29" s="11"/>
      <c r="E29" s="11"/>
    </row>
    <row r="30" spans="1:6" x14ac:dyDescent="0.2">
      <c r="A30" s="3">
        <v>45524</v>
      </c>
      <c r="B30" s="4">
        <v>0.375</v>
      </c>
      <c r="C30" s="4">
        <v>0.125</v>
      </c>
      <c r="D30" s="11">
        <v>1.2239500000000001</v>
      </c>
      <c r="E30" s="11">
        <v>1.22194</v>
      </c>
    </row>
    <row r="31" spans="1:6" x14ac:dyDescent="0.2">
      <c r="A31" s="3">
        <v>45524</v>
      </c>
      <c r="B31" s="4">
        <v>0.39791666666666664</v>
      </c>
      <c r="C31" s="4">
        <v>0.14791666666666664</v>
      </c>
      <c r="D31" s="11">
        <v>1.31952</v>
      </c>
      <c r="E31" s="11"/>
      <c r="F31" s="12" t="s">
        <v>43</v>
      </c>
    </row>
    <row r="32" spans="1:6" x14ac:dyDescent="0.2">
      <c r="A32" s="3">
        <v>45524</v>
      </c>
      <c r="B32" s="4">
        <v>0.41666666666666669</v>
      </c>
      <c r="C32" s="4">
        <v>0.16666666666666669</v>
      </c>
      <c r="D32" s="11">
        <v>1.4431099999999999</v>
      </c>
      <c r="E32" s="11"/>
    </row>
    <row r="33" spans="1:6" x14ac:dyDescent="0.2">
      <c r="A33" s="3">
        <v>45524</v>
      </c>
      <c r="B33" s="13">
        <v>0.4375</v>
      </c>
      <c r="C33" s="4">
        <v>0.1875</v>
      </c>
      <c r="D33" s="11">
        <v>2.77603</v>
      </c>
      <c r="E33" s="14"/>
      <c r="F33" s="7"/>
    </row>
    <row r="34" spans="1:6" x14ac:dyDescent="0.2">
      <c r="A34" s="3">
        <v>45524</v>
      </c>
      <c r="B34" s="4">
        <v>0.46041666666666664</v>
      </c>
      <c r="C34" s="4">
        <v>0.21041666666666664</v>
      </c>
      <c r="D34" s="11">
        <v>2.3113800000000002</v>
      </c>
      <c r="E34" s="11"/>
    </row>
    <row r="35" spans="1:6" x14ac:dyDescent="0.2">
      <c r="A35" s="3">
        <v>45524</v>
      </c>
      <c r="B35" s="4">
        <v>0.49652777777777779</v>
      </c>
      <c r="C35" s="4">
        <v>0.24652777777777779</v>
      </c>
      <c r="D35">
        <v>4.9112999999999998</v>
      </c>
      <c r="E35" s="14"/>
      <c r="F35" s="7" t="s">
        <v>45</v>
      </c>
    </row>
    <row r="36" spans="1:6" x14ac:dyDescent="0.2">
      <c r="A36" s="3">
        <v>45524</v>
      </c>
      <c r="B36" s="4">
        <v>0.51041666666666663</v>
      </c>
      <c r="C36" s="4">
        <v>0.26041666666666663</v>
      </c>
      <c r="D36" s="15"/>
      <c r="E36" s="14"/>
      <c r="F36" s="7" t="s">
        <v>46</v>
      </c>
    </row>
    <row r="37" spans="1:6" x14ac:dyDescent="0.2">
      <c r="A37" s="3">
        <v>45524</v>
      </c>
      <c r="B37" s="16">
        <v>0.54513888888888884</v>
      </c>
      <c r="C37" s="4">
        <v>0.29513888888888884</v>
      </c>
      <c r="F37" s="17" t="s">
        <v>48</v>
      </c>
    </row>
    <row r="38" spans="1:6" x14ac:dyDescent="0.2">
      <c r="A38" s="3">
        <v>45524</v>
      </c>
      <c r="B38" s="4">
        <v>0.55555555555555558</v>
      </c>
      <c r="C38" s="4">
        <v>0.30555555555555558</v>
      </c>
      <c r="D38" s="14"/>
      <c r="F38" s="18" t="s">
        <v>49</v>
      </c>
    </row>
    <row r="39" spans="1:6" x14ac:dyDescent="0.2">
      <c r="A39" s="3">
        <v>45524</v>
      </c>
      <c r="B39" s="16">
        <v>0.58680555555555558</v>
      </c>
      <c r="C39" s="4">
        <v>0.33680555555555558</v>
      </c>
      <c r="F39" s="7" t="s">
        <v>50</v>
      </c>
    </row>
    <row r="40" spans="1:6" x14ac:dyDescent="0.2">
      <c r="A40" s="3">
        <v>45524</v>
      </c>
      <c r="B40" s="4">
        <v>0.59583333333333333</v>
      </c>
      <c r="C40" s="4">
        <v>0.34583333333333333</v>
      </c>
      <c r="D40" s="14"/>
      <c r="E40" t="s">
        <v>51</v>
      </c>
      <c r="F40" s="15" t="s">
        <v>52</v>
      </c>
    </row>
    <row r="41" spans="1:6" x14ac:dyDescent="0.2">
      <c r="A41" s="3">
        <v>45524</v>
      </c>
      <c r="B41" s="4">
        <v>0.63194444444444442</v>
      </c>
      <c r="C41" s="4">
        <v>0.38194444444444442</v>
      </c>
      <c r="D41">
        <v>6.1113600000000003</v>
      </c>
      <c r="E41" t="s">
        <v>51</v>
      </c>
      <c r="F41" s="19" t="s">
        <v>54</v>
      </c>
    </row>
    <row r="42" spans="1:6" x14ac:dyDescent="0.2">
      <c r="A42" s="3">
        <v>45524</v>
      </c>
      <c r="B42" s="4">
        <v>0.66666666666666663</v>
      </c>
      <c r="C42" s="4">
        <v>0.41666666666666663</v>
      </c>
      <c r="D42" s="15"/>
      <c r="F42" s="19" t="s">
        <v>55</v>
      </c>
    </row>
    <row r="43" spans="1:6" x14ac:dyDescent="0.2">
      <c r="A43" s="3">
        <v>45524</v>
      </c>
      <c r="B43" s="4">
        <v>0.69305555555555554</v>
      </c>
      <c r="C43" s="4">
        <v>0.44305555555555554</v>
      </c>
      <c r="D43" s="15"/>
      <c r="F43" t="s">
        <v>56</v>
      </c>
    </row>
    <row r="44" spans="1:6" x14ac:dyDescent="0.2">
      <c r="A44" s="3">
        <v>45525</v>
      </c>
      <c r="B44" s="4">
        <v>0.26041666666666669</v>
      </c>
      <c r="C44" s="4">
        <v>1.0416666666666685E-2</v>
      </c>
      <c r="D44">
        <v>1.19181</v>
      </c>
      <c r="F44" s="7" t="s">
        <v>58</v>
      </c>
    </row>
    <row r="45" spans="1:6" x14ac:dyDescent="0.2">
      <c r="A45" s="3">
        <v>45525</v>
      </c>
      <c r="B45" s="4">
        <v>0.27083333333333331</v>
      </c>
      <c r="C45" s="4">
        <v>2.0833333333333315E-2</v>
      </c>
      <c r="D45">
        <v>1.19774</v>
      </c>
    </row>
    <row r="46" spans="1:6" x14ac:dyDescent="0.2">
      <c r="A46" s="3">
        <v>45525</v>
      </c>
      <c r="B46" s="4">
        <v>0.29166666666666669</v>
      </c>
      <c r="C46" s="4">
        <v>4.1666666666666685E-2</v>
      </c>
      <c r="D46">
        <v>1.31738</v>
      </c>
    </row>
    <row r="47" spans="1:6" x14ac:dyDescent="0.2">
      <c r="A47" s="3">
        <v>45525</v>
      </c>
      <c r="B47" s="4">
        <v>0.3125</v>
      </c>
      <c r="C47" s="4">
        <v>6.25E-2</v>
      </c>
      <c r="D47">
        <v>1.28894</v>
      </c>
    </row>
    <row r="48" spans="1:6" x14ac:dyDescent="0.2">
      <c r="A48" s="3"/>
      <c r="C48" s="4"/>
    </row>
    <row r="49" spans="1:6" x14ac:dyDescent="0.2">
      <c r="C49" s="4"/>
    </row>
    <row r="50" spans="1:6" x14ac:dyDescent="0.2">
      <c r="A50" s="3">
        <v>45882</v>
      </c>
      <c r="B50" s="4">
        <v>0.50347222222222221</v>
      </c>
      <c r="C50" s="4">
        <v>0.25347222222222221</v>
      </c>
      <c r="D50">
        <v>1.8099000000000001</v>
      </c>
      <c r="F50" t="s">
        <v>60</v>
      </c>
    </row>
    <row r="51" spans="1:6" x14ac:dyDescent="0.2">
      <c r="A51" s="3">
        <v>45882</v>
      </c>
      <c r="B51" s="4">
        <v>0.53333333333333333</v>
      </c>
      <c r="C51" s="4">
        <v>0.28333333333333333</v>
      </c>
      <c r="D51" s="19"/>
      <c r="E51" s="19"/>
    </row>
    <row r="52" spans="1:6" x14ac:dyDescent="0.2">
      <c r="A52" s="3">
        <v>45882</v>
      </c>
      <c r="B52" s="4">
        <v>0.6069444444444444</v>
      </c>
      <c r="C52" s="4">
        <v>0.3569444444444444</v>
      </c>
      <c r="D52" s="19"/>
      <c r="E52" s="19"/>
    </row>
    <row r="53" spans="1:6" x14ac:dyDescent="0.2">
      <c r="A53" s="3">
        <v>45882</v>
      </c>
      <c r="B53" s="4">
        <v>0.64583333333333337</v>
      </c>
      <c r="C53" s="4">
        <v>0.39583333333333337</v>
      </c>
      <c r="D53">
        <v>2.4969000000000001</v>
      </c>
      <c r="E53">
        <v>2.6659999999999999</v>
      </c>
      <c r="F53" t="s">
        <v>61</v>
      </c>
    </row>
    <row r="54" spans="1:6" x14ac:dyDescent="0.2">
      <c r="A54" s="3">
        <v>45882</v>
      </c>
      <c r="B54" s="4">
        <v>0.67986111111111114</v>
      </c>
      <c r="C54" s="4">
        <v>0.42986111111111114</v>
      </c>
      <c r="D54">
        <v>3.0043000000000002</v>
      </c>
      <c r="E54">
        <v>3.1597</v>
      </c>
    </row>
    <row r="55" spans="1:6" x14ac:dyDescent="0.2">
      <c r="A55" s="3">
        <v>45883</v>
      </c>
      <c r="B55" s="4">
        <v>0.29166666666666669</v>
      </c>
      <c r="C55" s="4">
        <v>4.1666666666666685E-2</v>
      </c>
      <c r="D55">
        <v>1.0054000000000001</v>
      </c>
      <c r="E55">
        <v>1.0123</v>
      </c>
    </row>
    <row r="56" spans="1:6" x14ac:dyDescent="0.2">
      <c r="A56" s="3">
        <v>45883</v>
      </c>
      <c r="B56" s="4">
        <v>0.30625000000000002</v>
      </c>
      <c r="C56" s="4">
        <v>5.6250000000000022E-2</v>
      </c>
      <c r="D56">
        <v>1.0317000000000001</v>
      </c>
      <c r="E56">
        <v>1.0137</v>
      </c>
    </row>
    <row r="57" spans="1:6" x14ac:dyDescent="0.2">
      <c r="A57" s="3">
        <v>45883</v>
      </c>
      <c r="B57" s="4">
        <v>0.33333333333333331</v>
      </c>
      <c r="C57" s="4">
        <v>8.3333333333333315E-2</v>
      </c>
      <c r="D57">
        <v>1.0076000000000001</v>
      </c>
      <c r="E57">
        <v>1.0033000000000001</v>
      </c>
    </row>
    <row r="58" spans="1:6" x14ac:dyDescent="0.2">
      <c r="A58" s="3">
        <v>45883</v>
      </c>
      <c r="B58" s="4">
        <v>0.37083333333333335</v>
      </c>
      <c r="C58" s="4">
        <v>0.12083333333333335</v>
      </c>
      <c r="D58">
        <v>1.0564</v>
      </c>
      <c r="E58">
        <v>1.0639000000000001</v>
      </c>
    </row>
    <row r="59" spans="1:6" x14ac:dyDescent="0.2">
      <c r="A59" s="3">
        <v>45883</v>
      </c>
      <c r="B59" s="4">
        <v>0.39305555555555555</v>
      </c>
      <c r="C59" s="4">
        <v>0.14305555555555555</v>
      </c>
      <c r="D59">
        <v>1.4342999999999999</v>
      </c>
      <c r="E59">
        <v>1.4376</v>
      </c>
      <c r="F59" t="s">
        <v>62</v>
      </c>
    </row>
    <row r="60" spans="1:6" x14ac:dyDescent="0.2">
      <c r="A60" s="3">
        <v>45883</v>
      </c>
      <c r="B60" s="4">
        <v>0.4201388888888889</v>
      </c>
      <c r="C60" s="4">
        <v>0.1701388888888889</v>
      </c>
      <c r="D60">
        <v>1.7153</v>
      </c>
      <c r="E60">
        <v>1.633</v>
      </c>
    </row>
    <row r="61" spans="1:6" x14ac:dyDescent="0.2">
      <c r="A61" s="3">
        <v>45883</v>
      </c>
      <c r="B61" s="4">
        <v>0.4513888888888889</v>
      </c>
      <c r="C61" s="4">
        <v>0.2013888888888889</v>
      </c>
      <c r="D61">
        <v>2.1415999999999999</v>
      </c>
      <c r="E61">
        <v>2.1173999999999999</v>
      </c>
    </row>
    <row r="62" spans="1:6" x14ac:dyDescent="0.2">
      <c r="A62" s="3">
        <v>45883</v>
      </c>
      <c r="B62" s="4">
        <v>0.48194444444444445</v>
      </c>
      <c r="C62" s="4">
        <v>0.23194444444444445</v>
      </c>
      <c r="D62">
        <v>2.6158999999999999</v>
      </c>
      <c r="E62">
        <v>2.6724000000000001</v>
      </c>
    </row>
    <row r="63" spans="1:6" x14ac:dyDescent="0.2">
      <c r="A63" s="3">
        <v>45883</v>
      </c>
      <c r="B63" s="4">
        <v>0.65</v>
      </c>
      <c r="C63" s="4">
        <v>0.4</v>
      </c>
      <c r="D63">
        <v>2.4298000000000002</v>
      </c>
      <c r="E63">
        <v>2.3342000000000001</v>
      </c>
    </row>
    <row r="64" spans="1:6" x14ac:dyDescent="0.2">
      <c r="A64" s="3">
        <v>45883</v>
      </c>
      <c r="B64" s="4">
        <v>0.67152777777777772</v>
      </c>
      <c r="C64" s="4">
        <v>0.42152777777777772</v>
      </c>
      <c r="D64">
        <v>2.5676999999999999</v>
      </c>
      <c r="E64">
        <v>2.4691999999999998</v>
      </c>
    </row>
    <row r="65" spans="1:6" x14ac:dyDescent="0.2">
      <c r="A65" s="3">
        <v>45883</v>
      </c>
      <c r="B65" s="4">
        <v>0.69722222222222219</v>
      </c>
      <c r="C65" s="4">
        <v>0.44722222222222219</v>
      </c>
      <c r="D65">
        <v>2.6688000000000001</v>
      </c>
      <c r="E65">
        <v>2.6941000000000002</v>
      </c>
      <c r="F65" t="s">
        <v>63</v>
      </c>
    </row>
  </sheetData>
  <conditionalFormatting sqref="A2:A100">
    <cfRule type="colorScale" priority="3">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clean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POHL Eric</dc:creator>
  <cp:lastModifiedBy>POHL Eric</cp:lastModifiedBy>
  <dcterms:created xsi:type="dcterms:W3CDTF">2025-11-26T23:19:51Z</dcterms:created>
  <dcterms:modified xsi:type="dcterms:W3CDTF">2025-11-28T00:24:38Z</dcterms:modified>
</cp:coreProperties>
</file>